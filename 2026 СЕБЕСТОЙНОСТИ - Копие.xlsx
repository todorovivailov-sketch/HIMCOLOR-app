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firstSheet="6" activeTab="11"/>
  </bookViews>
  <sheets>
    <sheet name="БПМ БЯЛА" sheetId="1" r:id="rId1"/>
    <sheet name="БПМ СИТИ" sheetId="2" r:id="rId2"/>
    <sheet name="БПМ СИТИ +" sheetId="3" r:id="rId3"/>
    <sheet name="ШПРИЦ ПЛАСТИК" sheetId="4" r:id="rId4"/>
    <sheet name="СТРУКТУРЕН ПЛАСТИК" sheetId="5" r:id="rId5"/>
    <sheet name="РАЗРЕДИТЕЛ АК-1" sheetId="6" r:id="rId6"/>
    <sheet name="РАЗРЕДИТЕЛ ЗА ПЛАСТИК" sheetId="7" r:id="rId7"/>
    <sheet name="БПМ ЖЪЛТА" sheetId="8" r:id="rId8"/>
    <sheet name="БПМ ЧЕРНА" sheetId="9" r:id="rId9"/>
    <sheet name="БПМ СИНЯ" sheetId="10" r:id="rId10"/>
    <sheet name="БПМ ЧЕРВЕНА" sheetId="11" r:id="rId11"/>
    <sheet name="жълт шприц" sheetId="12" r:id="rId12"/>
  </sheets>
  <calcPr calcId="145621"/>
</workbook>
</file>

<file path=xl/calcChain.xml><?xml version="1.0" encoding="utf-8"?>
<calcChain xmlns="http://schemas.openxmlformats.org/spreadsheetml/2006/main">
  <c r="L33" i="11" l="1"/>
  <c r="G30" i="10"/>
  <c r="M31" i="9"/>
  <c r="J33" i="8"/>
  <c r="G9" i="7"/>
  <c r="G13" i="6"/>
  <c r="G12" i="5"/>
  <c r="H24" i="1"/>
  <c r="H21" i="1"/>
  <c r="H18" i="1"/>
  <c r="H9" i="1"/>
  <c r="J22" i="8" l="1"/>
  <c r="K22" i="8" s="1"/>
  <c r="H17" i="12" l="1"/>
  <c r="H16" i="12"/>
  <c r="H18" i="12" s="1"/>
  <c r="F15" i="12"/>
  <c r="I14" i="12"/>
  <c r="H14" i="12"/>
  <c r="I13" i="12"/>
  <c r="H13" i="12"/>
  <c r="I12" i="12"/>
  <c r="H12" i="12"/>
  <c r="I11" i="12"/>
  <c r="H11" i="12"/>
  <c r="I10" i="12"/>
  <c r="H10" i="12"/>
  <c r="I9" i="12"/>
  <c r="H9" i="12"/>
  <c r="H15" i="12" l="1"/>
  <c r="I15" i="12"/>
  <c r="I19" i="12" s="1"/>
  <c r="I20" i="12" s="1"/>
  <c r="I21" i="12" s="1"/>
  <c r="I22" i="12" s="1"/>
  <c r="H19" i="12"/>
  <c r="H20" i="12" l="1"/>
  <c r="H21" i="12" s="1"/>
  <c r="H22" i="12" s="1"/>
  <c r="L28" i="11" l="1"/>
  <c r="L27" i="11"/>
  <c r="J26" i="11"/>
  <c r="L25" i="11"/>
  <c r="L24" i="11"/>
  <c r="L23" i="11"/>
  <c r="L22" i="11"/>
  <c r="L21" i="11"/>
  <c r="L20" i="11"/>
  <c r="L19" i="11"/>
  <c r="L18" i="11"/>
  <c r="L17" i="11"/>
  <c r="H33" i="10"/>
  <c r="H32" i="10"/>
  <c r="F31" i="10"/>
  <c r="H30" i="10"/>
  <c r="H29" i="10"/>
  <c r="H28" i="10"/>
  <c r="H27" i="10"/>
  <c r="H26" i="10"/>
  <c r="H25" i="10"/>
  <c r="H24" i="10"/>
  <c r="H23" i="10"/>
  <c r="H22" i="10"/>
  <c r="H21" i="10"/>
  <c r="N34" i="9"/>
  <c r="N33" i="9"/>
  <c r="N35" i="9" s="1"/>
  <c r="L32" i="9"/>
  <c r="N31" i="9"/>
  <c r="N30" i="9"/>
  <c r="N29" i="9"/>
  <c r="N28" i="9"/>
  <c r="N27" i="9"/>
  <c r="N26" i="9"/>
  <c r="N25" i="9"/>
  <c r="N24" i="9"/>
  <c r="N23" i="9"/>
  <c r="J28" i="8"/>
  <c r="J27" i="8"/>
  <c r="H26" i="8"/>
  <c r="J25" i="8"/>
  <c r="K25" i="8" s="1"/>
  <c r="J24" i="8"/>
  <c r="K24" i="8" s="1"/>
  <c r="J23" i="8"/>
  <c r="K23" i="8" s="1"/>
  <c r="J21" i="8"/>
  <c r="K21" i="8" s="1"/>
  <c r="J20" i="8"/>
  <c r="K20" i="8" s="1"/>
  <c r="J19" i="8"/>
  <c r="K19" i="8" s="1"/>
  <c r="J18" i="8"/>
  <c r="K18" i="8" s="1"/>
  <c r="J17" i="8"/>
  <c r="K17" i="8" s="1"/>
  <c r="J16" i="8"/>
  <c r="K16" i="8" s="1"/>
  <c r="J15" i="8"/>
  <c r="H12" i="7"/>
  <c r="H11" i="7"/>
  <c r="F10" i="7"/>
  <c r="H9" i="7"/>
  <c r="H10" i="7" s="1"/>
  <c r="H13" i="6"/>
  <c r="H12" i="6"/>
  <c r="F11" i="6"/>
  <c r="I10" i="6"/>
  <c r="H10" i="6"/>
  <c r="I9" i="6"/>
  <c r="H9" i="6"/>
  <c r="H30" i="5"/>
  <c r="H19" i="5"/>
  <c r="H18" i="5"/>
  <c r="H20" i="5" s="1"/>
  <c r="F17" i="5"/>
  <c r="H16" i="5"/>
  <c r="H15" i="5"/>
  <c r="H14" i="5"/>
  <c r="H13" i="5"/>
  <c r="H12" i="5"/>
  <c r="H11" i="5"/>
  <c r="H10" i="5"/>
  <c r="H9" i="5"/>
  <c r="H17" i="4"/>
  <c r="H16" i="4"/>
  <c r="F15" i="4"/>
  <c r="I14" i="4"/>
  <c r="H14" i="4"/>
  <c r="I13" i="4"/>
  <c r="H13" i="4"/>
  <c r="I12" i="4"/>
  <c r="H12" i="4"/>
  <c r="I11" i="4"/>
  <c r="H11" i="4"/>
  <c r="I10" i="4"/>
  <c r="H10" i="4"/>
  <c r="I9" i="4"/>
  <c r="H9" i="4"/>
  <c r="H20" i="3"/>
  <c r="H19" i="3"/>
  <c r="H21" i="3" s="1"/>
  <c r="F18" i="3"/>
  <c r="I17" i="3"/>
  <c r="H17" i="3"/>
  <c r="I16" i="3"/>
  <c r="H16" i="3"/>
  <c r="I15" i="3"/>
  <c r="H15" i="3"/>
  <c r="I14" i="3"/>
  <c r="H14" i="3"/>
  <c r="I13" i="3"/>
  <c r="H13" i="3"/>
  <c r="I12" i="3"/>
  <c r="H12" i="3"/>
  <c r="I11" i="3"/>
  <c r="H11" i="3"/>
  <c r="I10" i="3"/>
  <c r="H10" i="3"/>
  <c r="I9" i="3"/>
  <c r="H9" i="3"/>
  <c r="H20" i="2"/>
  <c r="H19" i="2"/>
  <c r="H21" i="2" s="1"/>
  <c r="F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I18" i="2" s="1"/>
  <c r="I22" i="2" s="1"/>
  <c r="H9" i="2"/>
  <c r="H20" i="1"/>
  <c r="H19" i="1"/>
  <c r="F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L29" i="11" l="1"/>
  <c r="L26" i="11"/>
  <c r="H34" i="10"/>
  <c r="H14" i="7"/>
  <c r="H15" i="7"/>
  <c r="H11" i="6"/>
  <c r="I11" i="6"/>
  <c r="I15" i="6" s="1"/>
  <c r="I16" i="6" s="1"/>
  <c r="I17" i="6" s="1"/>
  <c r="I18" i="6" s="1"/>
  <c r="H17" i="5"/>
  <c r="H21" i="5" s="1"/>
  <c r="H22" i="5" s="1"/>
  <c r="H23" i="5" s="1"/>
  <c r="H24" i="5" s="1"/>
  <c r="H18" i="4"/>
  <c r="H15" i="4"/>
  <c r="H19" i="4" s="1"/>
  <c r="I15" i="4"/>
  <c r="I19" i="4" s="1"/>
  <c r="I20" i="4" s="1"/>
  <c r="I21" i="4" s="1"/>
  <c r="I22" i="4" s="1"/>
  <c r="H18" i="3"/>
  <c r="H18" i="2"/>
  <c r="J29" i="8"/>
  <c r="H14" i="6"/>
  <c r="H15" i="6" s="1"/>
  <c r="L30" i="11"/>
  <c r="L31" i="11" s="1"/>
  <c r="L32" i="11" s="1"/>
  <c r="H31" i="10"/>
  <c r="H35" i="10" s="1"/>
  <c r="H36" i="10" s="1"/>
  <c r="H37" i="10" s="1"/>
  <c r="H38" i="10" s="1"/>
  <c r="N32" i="9"/>
  <c r="N36" i="9" s="1"/>
  <c r="N37" i="9" s="1"/>
  <c r="N38" i="9" s="1"/>
  <c r="N39" i="9" s="1"/>
  <c r="J26" i="8"/>
  <c r="J30" i="8" s="1"/>
  <c r="H22" i="3"/>
  <c r="H23" i="3" s="1"/>
  <c r="H24" i="3" s="1"/>
  <c r="H25" i="3" s="1"/>
  <c r="I18" i="3"/>
  <c r="I22" i="3" s="1"/>
  <c r="I23" i="3" s="1"/>
  <c r="I24" i="3" s="1"/>
  <c r="I25" i="3" s="1"/>
  <c r="H22" i="2"/>
  <c r="H23" i="2" s="1"/>
  <c r="H24" i="2" s="1"/>
  <c r="H25" i="2" s="1"/>
  <c r="H22" i="1"/>
  <c r="H23" i="1" s="1"/>
  <c r="H25" i="1" s="1"/>
  <c r="I18" i="1"/>
  <c r="I22" i="1" s="1"/>
  <c r="I23" i="1" s="1"/>
  <c r="I24" i="1" s="1"/>
  <c r="I25" i="1" s="1"/>
  <c r="K15" i="8"/>
  <c r="K26" i="8" s="1"/>
  <c r="K30" i="8" s="1"/>
  <c r="I23" i="2"/>
  <c r="I24" i="2" s="1"/>
  <c r="I25" i="2" s="1"/>
  <c r="H16" i="7" l="1"/>
  <c r="H17" i="7" s="1"/>
  <c r="H18" i="7" s="1"/>
  <c r="J31" i="8"/>
  <c r="J32" i="8" s="1"/>
  <c r="K31" i="8"/>
  <c r="K32" i="8" s="1"/>
  <c r="K33" i="8" s="1"/>
  <c r="H16" i="6"/>
  <c r="H17" i="6" s="1"/>
  <c r="H18" i="6" s="1"/>
  <c r="H20" i="4"/>
  <c r="H21" i="4" s="1"/>
  <c r="H22" i="4" s="1"/>
</calcChain>
</file>

<file path=xl/sharedStrings.xml><?xml version="1.0" encoding="utf-8"?>
<sst xmlns="http://schemas.openxmlformats.org/spreadsheetml/2006/main" count="286" uniqueCount="91">
  <si>
    <t>№</t>
  </si>
  <si>
    <t>ВИД НА М-ЛА</t>
  </si>
  <si>
    <t>КГ.</t>
  </si>
  <si>
    <t>ЦЕНА ЗА КГ.МАТЕРИАЛ</t>
  </si>
  <si>
    <t>ОБЩА   С-СТ БАКА</t>
  </si>
  <si>
    <t>КОНТЕЙНЕР</t>
  </si>
  <si>
    <t>ТОЛУОЛ</t>
  </si>
  <si>
    <t>СМОЛА</t>
  </si>
  <si>
    <t>договорена цена за смола с предварителено плащане</t>
  </si>
  <si>
    <t>АЦЕТОН</t>
  </si>
  <si>
    <t>БУТИЛ АЦЕТАТ</t>
  </si>
  <si>
    <t>БЕНТОНЕ 34</t>
  </si>
  <si>
    <t>АДИТОЛ 270</t>
  </si>
  <si>
    <t>КРЕДА №5</t>
  </si>
  <si>
    <t>КРЕДА №2</t>
  </si>
  <si>
    <t>ТИТАН</t>
  </si>
  <si>
    <t>договорена цена за  заявка на титан</t>
  </si>
  <si>
    <t>ОБЩО</t>
  </si>
  <si>
    <t>БАКИ</t>
  </si>
  <si>
    <t>ЕТИКЕТИ</t>
  </si>
  <si>
    <t>ДРУГИ Р-ДИ 20%</t>
  </si>
  <si>
    <t xml:space="preserve">ВСИЧКО </t>
  </si>
  <si>
    <t>договорена цена за смола с предварително плащане</t>
  </si>
  <si>
    <t>БПМ-БЯЛА( СИТИ+)СЕБЕСТОЙНОСТ ОТ 01.01.2025Г.</t>
  </si>
  <si>
    <t>,</t>
  </si>
  <si>
    <t>ОБЩА   С-СТ бака</t>
  </si>
  <si>
    <t>СМОЛА -HELIOS- 926</t>
  </si>
  <si>
    <t>СМОЛА-HELIOS- 941</t>
  </si>
  <si>
    <t xml:space="preserve"> </t>
  </si>
  <si>
    <t>ОБЩА   С-СТ</t>
  </si>
  <si>
    <t>СМОЛА ХЕЛИОС</t>
  </si>
  <si>
    <t>договорена цена  за 22 тона смола</t>
  </si>
  <si>
    <t>Гранули  0,2-0,3</t>
  </si>
  <si>
    <t>Гранули  0,3-0,8</t>
  </si>
  <si>
    <t>ПЕРЛИ 180-850</t>
  </si>
  <si>
    <t>КРЕДА №40</t>
  </si>
  <si>
    <t>АДМИН. Р-ДИ 20%</t>
  </si>
  <si>
    <t>ВАРЕЛ</t>
  </si>
  <si>
    <t>ТУЛОЛ-ТБА</t>
  </si>
  <si>
    <t>ТУБИ</t>
  </si>
  <si>
    <t xml:space="preserve">                     ДРУГИ РАЗХОДИ  10%</t>
  </si>
  <si>
    <t>заложени 10%-прави се докато се произвежда боя за БПМ.</t>
  </si>
  <si>
    <t>ВСИЧКО</t>
  </si>
  <si>
    <t>Наши фирми -%(бака) -%(варел)</t>
  </si>
  <si>
    <t>МЕТИЛМЕТАКРИЛАТ</t>
  </si>
  <si>
    <t>ТЕНЕКИЯ</t>
  </si>
  <si>
    <t xml:space="preserve">                    ДРУГИ РАЗХОДИ  15%</t>
  </si>
  <si>
    <t>работи се с по-ниски %-ти ,защото се разглежда като съпътстващ продукт.</t>
  </si>
  <si>
    <t xml:space="preserve"> Наши фирми -%</t>
  </si>
  <si>
    <t>Външни %</t>
  </si>
  <si>
    <t>ОЛОВЕН ХРОМАТ- Жълт</t>
  </si>
  <si>
    <t>ЖОБ Жълта</t>
  </si>
  <si>
    <t>ЖОБ Черна</t>
  </si>
  <si>
    <t>работи се с по-висок % тъй като е по трудоемко за произвеждане и изисква повече време</t>
  </si>
  <si>
    <t>ПИГМЕНТ СИН</t>
  </si>
  <si>
    <t>договорена цена за смола целогодишно</t>
  </si>
  <si>
    <t>Монолите RED-Червен пернамент</t>
  </si>
  <si>
    <t>ЖОБ ЖЪЛТА</t>
  </si>
  <si>
    <t>HEUCUFIT лимон</t>
  </si>
  <si>
    <t>СМОЛА 850 60Т</t>
  </si>
  <si>
    <t>СЕБЕСТОЙНОСТ НА 1КГ БПМ-ЖЪЛТА В €</t>
  </si>
  <si>
    <t>ОБЩА   С-СТ €</t>
  </si>
  <si>
    <t>БПМ-ЖЪЛТА СЕБЕСТОЙНОСТ ОТ 05.05.2026г.</t>
  </si>
  <si>
    <t>ВСИЧКО Р-ДИ ЗА  ТОН БПМ-ЖЪЛТА В €.</t>
  </si>
  <si>
    <t>БПМ-БЯЛА СЕБЕСТОЙНОСТ ОТ 05.05.2026г.</t>
  </si>
  <si>
    <t>ВСИЧКО Р-ДИ ЗА  ТОН БПМ-БЯЛА В €</t>
  </si>
  <si>
    <t>СЕБЕСТОЙНОСТ НА 1КГ БПМ-БЯЛА В €</t>
  </si>
  <si>
    <t>БПМ-БЯЛА( СИТИ)СЕБЕСТОЙНОСТ ОТ 05.05.2026г.</t>
  </si>
  <si>
    <t>СЕБЕСТОЙНОСТ НА 1КГ БПМ СИТИ-БЯЛА В €</t>
  </si>
  <si>
    <t>СЕБЕСТОЙНОСТ НА 1КГ БПМ СИТИ ( + ) -БЯЛА В €</t>
  </si>
  <si>
    <t>БПМ-СТУДЕН ПЛАСТИК-ШПРИЦ ПЛАСТИК ОТ 05.05.2026Г.</t>
  </si>
  <si>
    <t>ВСИЧКО Р-ДИ ЗА  ТОН БПМ-ШПРИЦ ПЛАСТИК В €</t>
  </si>
  <si>
    <t>СЕБЕСТОЙНОСТ НА 1КГ БПМ-ШПРИЦ ПЛАСТИК В €</t>
  </si>
  <si>
    <t>ВСИЧКО Р-ДИ ЗА  ТОН БПМ-СТУДЕН ПЛАСТИК В€</t>
  </si>
  <si>
    <t>СЕБЕСТОЙНОСТ НА 1КГ БПМ-СТУДЕН ПЛАСТИК В €</t>
  </si>
  <si>
    <t>БПМ-СТУДЕН ПЛАСТИК ОТ 05.05.2026Г.</t>
  </si>
  <si>
    <t>РАЗРЕДИТЕЛ ЗА БПМ-АКРИЛАТНА-05.05.2026г.</t>
  </si>
  <si>
    <t>ВСИЧКО Р-ДИ ЗА  ТОН РАЗРЕДИТЕЛ В €</t>
  </si>
  <si>
    <t>СЕБЕСТОЙНОСТ НА 1КГ.  РАЗРЕДИТЕЛ В €</t>
  </si>
  <si>
    <t>РАЗРЕДИТЕЛ ЗА ШПРИЦ ПЛАСТИК-05.05.2026г.</t>
  </si>
  <si>
    <t>ВСИЧКО Р-ДИ ЗА  БАКА  РАЗРЕДИТЕЛ В €</t>
  </si>
  <si>
    <t>БПМ-ЧЕРНА СЕБЕСТОЙНОСТ ОТ 05.05.2026г.</t>
  </si>
  <si>
    <t>ВСИЧКО Р-ДИ ЗА  ТОН БПМ-ЧЕРНА  В €</t>
  </si>
  <si>
    <t>СЕБЕСТОЙНОСТ НА 1КГ БПМ-ЧЕРНА  В €</t>
  </si>
  <si>
    <t>БПМ-СИНЯ СЕБЕСТОЙНОСТ ОТ 05.05.2026Г.</t>
  </si>
  <si>
    <t>ВСИЧКО Р-ДИ ЗА  ТОН БПМ-СИНЯ  В €</t>
  </si>
  <si>
    <t>СЕБЕСТОЙНОСТ НА 1КГ БПМ-СИНЯ В €</t>
  </si>
  <si>
    <t>БПМ-ЧЕРВЕНА СЕБЕСТОЙНОСТ 05.05.2026г.</t>
  </si>
  <si>
    <t>ВСИЧКО Р-ДИ ЗА  ТОН БПМ-ЧЕРВЕНА В €</t>
  </si>
  <si>
    <t>СЕБЕСТОЙНОСТ НА 1КГ БПМ-ЧЕРВЕНА В €</t>
  </si>
  <si>
    <t>БПМ-СТУДЕН ШПРИЦ ПЛАСТИК-ЖЪЛТ ОТ 05.05.2026Г.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</si>
</sst>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b/>
      <sz val="16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color indexed="10"/>
      <name val="Arial"/>
      <family val="2"/>
      <charset val="204"/>
    </font>
    <font>
      <sz val="10"/>
      <name val="Arial"/>
      <charset val="204"/>
    </font>
    <font>
      <sz val="10"/>
      <color indexed="18"/>
      <name val="Arial"/>
      <family val="2"/>
      <charset val="204"/>
    </font>
    <font>
      <sz val="10"/>
      <color theme="0"/>
      <name val="Arial"/>
      <family val="2"/>
      <charset val="204"/>
    </font>
    <font>
      <sz val="16"/>
      <name val="Arial"/>
      <family val="2"/>
      <charset val="204"/>
    </font>
    <font>
      <b/>
      <sz val="16"/>
      <color theme="1" tint="4.9989318521683403E-2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08">
    <xf numFmtId="0" fontId="0" fillId="0" borderId="0" xfId="0"/>
    <xf numFmtId="0" fontId="0" fillId="3" borderId="7" xfId="0" applyFill="1" applyBorder="1"/>
    <xf numFmtId="0" fontId="3" fillId="0" borderId="9" xfId="0" applyFont="1" applyBorder="1"/>
    <xf numFmtId="0" fontId="2" fillId="0" borderId="10" xfId="0" applyFon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2" fontId="5" fillId="0" borderId="10" xfId="0" applyNumberFormat="1" applyFont="1" applyBorder="1"/>
    <xf numFmtId="0" fontId="0" fillId="0" borderId="10" xfId="0" applyBorder="1"/>
    <xf numFmtId="0" fontId="5" fillId="0" borderId="10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8" fillId="2" borderId="13" xfId="0" applyFon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2" fontId="0" fillId="4" borderId="10" xfId="0" applyNumberFormat="1" applyFill="1" applyBorder="1" applyAlignment="1">
      <alignment horizontal="center"/>
    </xf>
    <xf numFmtId="2" fontId="0" fillId="6" borderId="7" xfId="0" applyNumberFormat="1" applyFill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0" borderId="19" xfId="0" applyNumberFormat="1" applyBorder="1" applyAlignment="1">
      <alignment horizontal="center"/>
    </xf>
    <xf numFmtId="164" fontId="0" fillId="0" borderId="0" xfId="0" applyNumberFormat="1" applyBorder="1"/>
    <xf numFmtId="2" fontId="0" fillId="0" borderId="15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0" fontId="0" fillId="0" borderId="0" xfId="0" applyBorder="1"/>
    <xf numFmtId="0" fontId="5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0" fillId="3" borderId="0" xfId="0" applyFill="1" applyBorder="1" applyAlignment="1"/>
    <xf numFmtId="0" fontId="0" fillId="3" borderId="0" xfId="0" applyFill="1"/>
    <xf numFmtId="0" fontId="0" fillId="4" borderId="10" xfId="0" applyFill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4" fillId="0" borderId="0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164" fontId="0" fillId="0" borderId="10" xfId="0" applyNumberFormat="1" applyBorder="1" applyAlignment="1">
      <alignment horizontal="center"/>
    </xf>
    <xf numFmtId="2" fontId="5" fillId="0" borderId="10" xfId="0" applyNumberFormat="1" applyFont="1" applyBorder="1" applyAlignment="1">
      <alignment horizontal="center"/>
    </xf>
    <xf numFmtId="0" fontId="0" fillId="0" borderId="9" xfId="0" applyBorder="1"/>
    <xf numFmtId="2" fontId="0" fillId="5" borderId="10" xfId="0" applyNumberFormat="1" applyFill="1" applyBorder="1" applyAlignment="1">
      <alignment horizontal="center"/>
    </xf>
    <xf numFmtId="0" fontId="0" fillId="0" borderId="0" xfId="0" applyFill="1"/>
    <xf numFmtId="0" fontId="3" fillId="0" borderId="0" xfId="0" applyFont="1"/>
    <xf numFmtId="2" fontId="6" fillId="0" borderId="13" xfId="0" applyNumberFormat="1" applyFon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3" fillId="0" borderId="23" xfId="0" applyFont="1" applyBorder="1"/>
    <xf numFmtId="0" fontId="0" fillId="0" borderId="21" xfId="0" applyBorder="1"/>
    <xf numFmtId="0" fontId="0" fillId="0" borderId="24" xfId="0" applyBorder="1"/>
    <xf numFmtId="0" fontId="3" fillId="0" borderId="25" xfId="0" applyFont="1" applyBorder="1"/>
    <xf numFmtId="0" fontId="0" fillId="0" borderId="26" xfId="0" applyBorder="1"/>
    <xf numFmtId="2" fontId="0" fillId="0" borderId="0" xfId="0" applyNumberFormat="1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4" fillId="0" borderId="0" xfId="0" applyFont="1"/>
    <xf numFmtId="2" fontId="0" fillId="0" borderId="11" xfId="0" applyNumberFormat="1" applyBorder="1" applyAlignment="1">
      <alignment horizontal="center"/>
    </xf>
    <xf numFmtId="2" fontId="5" fillId="0" borderId="11" xfId="0" applyNumberFormat="1" applyFont="1" applyBorder="1" applyAlignment="1">
      <alignment horizontal="center"/>
    </xf>
    <xf numFmtId="2" fontId="0" fillId="7" borderId="18" xfId="0" applyNumberForma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8" xfId="0" applyBorder="1"/>
    <xf numFmtId="2" fontId="0" fillId="0" borderId="4" xfId="0" applyNumberFormat="1" applyBorder="1" applyAlignment="1">
      <alignment horizontal="center"/>
    </xf>
    <xf numFmtId="2" fontId="0" fillId="0" borderId="10" xfId="0" applyNumberFormat="1" applyBorder="1"/>
    <xf numFmtId="0" fontId="6" fillId="0" borderId="12" xfId="0" applyFont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2" fontId="0" fillId="8" borderId="18" xfId="0" applyNumberFormat="1" applyFill="1" applyBorder="1" applyAlignment="1">
      <alignment horizontal="center"/>
    </xf>
    <xf numFmtId="2" fontId="8" fillId="9" borderId="12" xfId="0" applyNumberFormat="1" applyFont="1" applyFill="1" applyBorder="1" applyAlignment="1">
      <alignment horizontal="center"/>
    </xf>
    <xf numFmtId="0" fontId="0" fillId="8" borderId="18" xfId="0" applyFill="1" applyBorder="1" applyAlignment="1">
      <alignment horizontal="center"/>
    </xf>
    <xf numFmtId="0" fontId="3" fillId="10" borderId="12" xfId="0" applyFont="1" applyFill="1" applyBorder="1" applyAlignment="1">
      <alignment horizontal="center"/>
    </xf>
    <xf numFmtId="2" fontId="0" fillId="4" borderId="18" xfId="0" applyNumberFormat="1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2" fontId="0" fillId="11" borderId="18" xfId="0" applyNumberFormat="1" applyFill="1" applyBorder="1" applyAlignment="1">
      <alignment horizontal="center"/>
    </xf>
    <xf numFmtId="2" fontId="0" fillId="0" borderId="23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8" fillId="9" borderId="13" xfId="0" applyNumberFormat="1" applyFont="1" applyFill="1" applyBorder="1" applyAlignment="1">
      <alignment horizontal="center"/>
    </xf>
    <xf numFmtId="0" fontId="4" fillId="0" borderId="30" xfId="0" applyFont="1" applyBorder="1" applyAlignment="1"/>
    <xf numFmtId="0" fontId="0" fillId="0" borderId="16" xfId="0" applyBorder="1"/>
    <xf numFmtId="0" fontId="0" fillId="0" borderId="17" xfId="0" applyBorder="1"/>
    <xf numFmtId="2" fontId="3" fillId="10" borderId="13" xfId="0" applyNumberFormat="1" applyFont="1" applyFill="1" applyBorder="1" applyAlignment="1">
      <alignment horizontal="center"/>
    </xf>
    <xf numFmtId="0" fontId="4" fillId="0" borderId="0" xfId="0" applyFont="1" applyBorder="1" applyAlignment="1"/>
    <xf numFmtId="0" fontId="0" fillId="0" borderId="0" xfId="0" applyBorder="1" applyAlignment="1"/>
    <xf numFmtId="2" fontId="4" fillId="0" borderId="10" xfId="0" applyNumberFormat="1" applyFont="1" applyBorder="1" applyAlignment="1">
      <alignment horizontal="center"/>
    </xf>
    <xf numFmtId="2" fontId="0" fillId="9" borderId="10" xfId="0" applyNumberFormat="1" applyFill="1" applyBorder="1" applyAlignment="1">
      <alignment horizontal="center"/>
    </xf>
    <xf numFmtId="0" fontId="0" fillId="0" borderId="0" xfId="0" applyAlignment="1"/>
    <xf numFmtId="0" fontId="9" fillId="0" borderId="18" xfId="0" applyFont="1" applyBorder="1"/>
    <xf numFmtId="0" fontId="2" fillId="0" borderId="10" xfId="0" applyFont="1" applyBorder="1"/>
    <xf numFmtId="0" fontId="10" fillId="0" borderId="0" xfId="0" applyFont="1"/>
    <xf numFmtId="0" fontId="2" fillId="0" borderId="8" xfId="0" applyFont="1" applyBorder="1"/>
    <xf numFmtId="0" fontId="2" fillId="0" borderId="8" xfId="0" applyFont="1" applyBorder="1" applyAlignment="1">
      <alignment horizontal="center"/>
    </xf>
    <xf numFmtId="0" fontId="0" fillId="0" borderId="0" xfId="0" applyAlignment="1">
      <alignment horizontal="left" vertical="top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3" fillId="0" borderId="21" xfId="0" applyFont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2" fillId="0" borderId="11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3" fillId="0" borderId="11" xfId="0" applyFont="1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4" fillId="0" borderId="14" xfId="0" applyFont="1" applyBorder="1" applyAlignment="1">
      <alignment horizontal="left"/>
    </xf>
    <xf numFmtId="0" fontId="0" fillId="0" borderId="0" xfId="0" applyAlignment="1">
      <alignment horizontal="left"/>
    </xf>
    <xf numFmtId="0" fontId="3" fillId="4" borderId="14" xfId="0" applyFont="1" applyFill="1" applyBorder="1" applyAlignment="1">
      <alignment horizontal="left"/>
    </xf>
    <xf numFmtId="0" fontId="0" fillId="4" borderId="0" xfId="0" applyFill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3" fillId="5" borderId="1" xfId="0" applyFont="1" applyFill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2" borderId="12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4" fillId="0" borderId="14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3" fillId="0" borderId="23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4" xfId="0" applyBorder="1" applyAlignment="1">
      <alignment horizontal="center"/>
    </xf>
    <xf numFmtId="0" fontId="4" fillId="0" borderId="25" xfId="0" applyFont="1" applyBorder="1" applyAlignment="1">
      <alignment horizontal="left"/>
    </xf>
    <xf numFmtId="0" fontId="3" fillId="9" borderId="11" xfId="0" applyFont="1" applyFill="1" applyBorder="1" applyAlignment="1">
      <alignment horizontal="center"/>
    </xf>
    <xf numFmtId="0" fontId="3" fillId="9" borderId="12" xfId="0" applyFont="1" applyFill="1" applyBorder="1" applyAlignment="1">
      <alignment horizontal="center"/>
    </xf>
    <xf numFmtId="0" fontId="3" fillId="9" borderId="13" xfId="0" applyFont="1" applyFill="1" applyBorder="1" applyAlignment="1">
      <alignment horizontal="center"/>
    </xf>
    <xf numFmtId="0" fontId="3" fillId="10" borderId="11" xfId="0" applyFont="1" applyFill="1" applyBorder="1" applyAlignment="1">
      <alignment horizontal="center"/>
    </xf>
    <xf numFmtId="0" fontId="3" fillId="10" borderId="12" xfId="0" applyFont="1" applyFill="1" applyBorder="1" applyAlignment="1">
      <alignment horizontal="center"/>
    </xf>
    <xf numFmtId="0" fontId="3" fillId="10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1" fillId="2" borderId="1" xfId="0" applyNumberFormat="1" applyFont="1" applyFill="1" applyBorder="1" applyAlignment="1">
      <alignment horizontal="center" wrapText="1"/>
    </xf>
    <xf numFmtId="0" fontId="1" fillId="2" borderId="2" xfId="0" applyNumberFormat="1" applyFont="1" applyFill="1" applyBorder="1" applyAlignment="1">
      <alignment horizontal="center" wrapText="1"/>
    </xf>
    <xf numFmtId="0" fontId="1" fillId="2" borderId="3" xfId="0" applyNumberFormat="1" applyFont="1" applyFill="1" applyBorder="1" applyAlignment="1">
      <alignment horizontal="center" wrapText="1"/>
    </xf>
    <xf numFmtId="0" fontId="1" fillId="2" borderId="4" xfId="0" applyNumberFormat="1" applyFont="1" applyFill="1" applyBorder="1" applyAlignment="1">
      <alignment horizontal="center" wrapText="1"/>
    </xf>
    <xf numFmtId="0" fontId="1" fillId="2" borderId="5" xfId="0" applyNumberFormat="1" applyFont="1" applyFill="1" applyBorder="1" applyAlignment="1">
      <alignment horizontal="center" wrapText="1"/>
    </xf>
    <xf numFmtId="0" fontId="1" fillId="2" borderId="6" xfId="0" applyNumberFormat="1" applyFont="1" applyFill="1" applyBorder="1" applyAlignment="1">
      <alignment horizontal="center" wrapText="1"/>
    </xf>
    <xf numFmtId="0" fontId="4" fillId="3" borderId="14" xfId="0" applyFont="1" applyFill="1" applyBorder="1" applyAlignment="1">
      <alignment horizontal="left"/>
    </xf>
    <xf numFmtId="0" fontId="0" fillId="3" borderId="0" xfId="0" applyFill="1" applyBorder="1" applyAlignment="1">
      <alignment horizontal="left"/>
    </xf>
    <xf numFmtId="0" fontId="3" fillId="3" borderId="14" xfId="0" applyFont="1" applyFill="1" applyBorder="1" applyAlignment="1">
      <alignment horizontal="left"/>
    </xf>
    <xf numFmtId="0" fontId="0" fillId="3" borderId="0" xfId="0" applyFill="1" applyAlignment="1">
      <alignment horizontal="left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0" xfId="0" applyBorder="1" applyAlignment="1">
      <alignment horizontal="left"/>
    </xf>
    <xf numFmtId="0" fontId="3" fillId="0" borderId="1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5" borderId="31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0" fillId="5" borderId="33" xfId="0" applyFill="1" applyBorder="1" applyAlignment="1">
      <alignment horizontal="center"/>
    </xf>
    <xf numFmtId="0" fontId="11" fillId="14" borderId="1" xfId="0" applyFont="1" applyFill="1" applyBorder="1" applyAlignment="1">
      <alignment horizontal="center"/>
    </xf>
    <xf numFmtId="0" fontId="11" fillId="14" borderId="2" xfId="0" applyFont="1" applyFill="1" applyBorder="1" applyAlignment="1">
      <alignment horizontal="center"/>
    </xf>
    <xf numFmtId="0" fontId="11" fillId="14" borderId="3" xfId="0" applyFont="1" applyFill="1" applyBorder="1" applyAlignment="1">
      <alignment horizontal="center"/>
    </xf>
    <xf numFmtId="0" fontId="11" fillId="14" borderId="4" xfId="0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4" borderId="6" xfId="0" applyFont="1" applyFill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1" fillId="12" borderId="2" xfId="0" applyFont="1" applyFill="1" applyBorder="1" applyAlignment="1">
      <alignment horizontal="center"/>
    </xf>
    <xf numFmtId="0" fontId="1" fillId="12" borderId="3" xfId="0" applyFont="1" applyFill="1" applyBorder="1" applyAlignment="1">
      <alignment horizontal="center"/>
    </xf>
    <xf numFmtId="0" fontId="1" fillId="12" borderId="4" xfId="0" applyFont="1" applyFill="1" applyBorder="1" applyAlignment="1">
      <alignment horizontal="center"/>
    </xf>
    <xf numFmtId="0" fontId="1" fillId="12" borderId="5" xfId="0" applyFont="1" applyFill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0" fillId="13" borderId="3" xfId="0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0" fillId="13" borderId="5" xfId="0" applyFill="1" applyBorder="1" applyAlignment="1">
      <alignment horizontal="center"/>
    </xf>
    <xf numFmtId="0" fontId="0" fillId="13" borderId="6" xfId="0" applyFill="1" applyBorder="1" applyAlignment="1">
      <alignment horizontal="center"/>
    </xf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</cellXfs>
  <cellStyles count="1">
    <cellStyle name="Нормален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тема">
  <a:themeElements>
    <a:clrScheme name="О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9"/>
  <sheetViews>
    <sheetView topLeftCell="A8" workbookViewId="0">
      <selection activeCell="H25" sqref="H25"/>
    </sheetView>
  </sheetViews>
  <sheetFormatPr defaultRowHeight="15" x14ac:dyDescent="0.25"/>
  <cols>
    <col min="2" max="2" width="6" customWidth="1"/>
    <col min="6" max="6" width="9.85546875" bestFit="1" customWidth="1"/>
    <col min="7" max="7" width="16.85546875" customWidth="1"/>
    <col min="8" max="8" width="11.5703125" bestFit="1" customWidth="1"/>
    <col min="9" max="9" width="13.28515625" customWidth="1"/>
    <col min="258" max="258" width="6" customWidth="1"/>
    <col min="262" max="262" width="9.85546875" bestFit="1" customWidth="1"/>
    <col min="263" max="263" width="16.85546875" customWidth="1"/>
    <col min="264" max="264" width="11.5703125" bestFit="1" customWidth="1"/>
    <col min="265" max="265" width="13.28515625" customWidth="1"/>
    <col min="514" max="514" width="6" customWidth="1"/>
    <col min="518" max="518" width="9.85546875" bestFit="1" customWidth="1"/>
    <col min="519" max="519" width="16.85546875" customWidth="1"/>
    <col min="520" max="520" width="11.5703125" bestFit="1" customWidth="1"/>
    <col min="521" max="521" width="13.28515625" customWidth="1"/>
    <col min="770" max="770" width="6" customWidth="1"/>
    <col min="774" max="774" width="9.85546875" bestFit="1" customWidth="1"/>
    <col min="775" max="775" width="16.85546875" customWidth="1"/>
    <col min="776" max="776" width="11.5703125" bestFit="1" customWidth="1"/>
    <col min="777" max="777" width="13.28515625" customWidth="1"/>
    <col min="1026" max="1026" width="6" customWidth="1"/>
    <col min="1030" max="1030" width="9.85546875" bestFit="1" customWidth="1"/>
    <col min="1031" max="1031" width="16.85546875" customWidth="1"/>
    <col min="1032" max="1032" width="11.5703125" bestFit="1" customWidth="1"/>
    <col min="1033" max="1033" width="13.28515625" customWidth="1"/>
    <col min="1282" max="1282" width="6" customWidth="1"/>
    <col min="1286" max="1286" width="9.85546875" bestFit="1" customWidth="1"/>
    <col min="1287" max="1287" width="16.85546875" customWidth="1"/>
    <col min="1288" max="1288" width="11.5703125" bestFit="1" customWidth="1"/>
    <col min="1289" max="1289" width="13.28515625" customWidth="1"/>
    <col min="1538" max="1538" width="6" customWidth="1"/>
    <col min="1542" max="1542" width="9.85546875" bestFit="1" customWidth="1"/>
    <col min="1543" max="1543" width="16.85546875" customWidth="1"/>
    <col min="1544" max="1544" width="11.5703125" bestFit="1" customWidth="1"/>
    <col min="1545" max="1545" width="13.28515625" customWidth="1"/>
    <col min="1794" max="1794" width="6" customWidth="1"/>
    <col min="1798" max="1798" width="9.85546875" bestFit="1" customWidth="1"/>
    <col min="1799" max="1799" width="16.85546875" customWidth="1"/>
    <col min="1800" max="1800" width="11.5703125" bestFit="1" customWidth="1"/>
    <col min="1801" max="1801" width="13.28515625" customWidth="1"/>
    <col min="2050" max="2050" width="6" customWidth="1"/>
    <col min="2054" max="2054" width="9.85546875" bestFit="1" customWidth="1"/>
    <col min="2055" max="2055" width="16.85546875" customWidth="1"/>
    <col min="2056" max="2056" width="11.5703125" bestFit="1" customWidth="1"/>
    <col min="2057" max="2057" width="13.28515625" customWidth="1"/>
    <col min="2306" max="2306" width="6" customWidth="1"/>
    <col min="2310" max="2310" width="9.85546875" bestFit="1" customWidth="1"/>
    <col min="2311" max="2311" width="16.85546875" customWidth="1"/>
    <col min="2312" max="2312" width="11.5703125" bestFit="1" customWidth="1"/>
    <col min="2313" max="2313" width="13.28515625" customWidth="1"/>
    <col min="2562" max="2562" width="6" customWidth="1"/>
    <col min="2566" max="2566" width="9.85546875" bestFit="1" customWidth="1"/>
    <col min="2567" max="2567" width="16.85546875" customWidth="1"/>
    <col min="2568" max="2568" width="11.5703125" bestFit="1" customWidth="1"/>
    <col min="2569" max="2569" width="13.28515625" customWidth="1"/>
    <col min="2818" max="2818" width="6" customWidth="1"/>
    <col min="2822" max="2822" width="9.85546875" bestFit="1" customWidth="1"/>
    <col min="2823" max="2823" width="16.85546875" customWidth="1"/>
    <col min="2824" max="2824" width="11.5703125" bestFit="1" customWidth="1"/>
    <col min="2825" max="2825" width="13.28515625" customWidth="1"/>
    <col min="3074" max="3074" width="6" customWidth="1"/>
    <col min="3078" max="3078" width="9.85546875" bestFit="1" customWidth="1"/>
    <col min="3079" max="3079" width="16.85546875" customWidth="1"/>
    <col min="3080" max="3080" width="11.5703125" bestFit="1" customWidth="1"/>
    <col min="3081" max="3081" width="13.28515625" customWidth="1"/>
    <col min="3330" max="3330" width="6" customWidth="1"/>
    <col min="3334" max="3334" width="9.85546875" bestFit="1" customWidth="1"/>
    <col min="3335" max="3335" width="16.85546875" customWidth="1"/>
    <col min="3336" max="3336" width="11.5703125" bestFit="1" customWidth="1"/>
    <col min="3337" max="3337" width="13.28515625" customWidth="1"/>
    <col min="3586" max="3586" width="6" customWidth="1"/>
    <col min="3590" max="3590" width="9.85546875" bestFit="1" customWidth="1"/>
    <col min="3591" max="3591" width="16.85546875" customWidth="1"/>
    <col min="3592" max="3592" width="11.5703125" bestFit="1" customWidth="1"/>
    <col min="3593" max="3593" width="13.28515625" customWidth="1"/>
    <col min="3842" max="3842" width="6" customWidth="1"/>
    <col min="3846" max="3846" width="9.85546875" bestFit="1" customWidth="1"/>
    <col min="3847" max="3847" width="16.85546875" customWidth="1"/>
    <col min="3848" max="3848" width="11.5703125" bestFit="1" customWidth="1"/>
    <col min="3849" max="3849" width="13.28515625" customWidth="1"/>
    <col min="4098" max="4098" width="6" customWidth="1"/>
    <col min="4102" max="4102" width="9.85546875" bestFit="1" customWidth="1"/>
    <col min="4103" max="4103" width="16.85546875" customWidth="1"/>
    <col min="4104" max="4104" width="11.5703125" bestFit="1" customWidth="1"/>
    <col min="4105" max="4105" width="13.28515625" customWidth="1"/>
    <col min="4354" max="4354" width="6" customWidth="1"/>
    <col min="4358" max="4358" width="9.85546875" bestFit="1" customWidth="1"/>
    <col min="4359" max="4359" width="16.85546875" customWidth="1"/>
    <col min="4360" max="4360" width="11.5703125" bestFit="1" customWidth="1"/>
    <col min="4361" max="4361" width="13.28515625" customWidth="1"/>
    <col min="4610" max="4610" width="6" customWidth="1"/>
    <col min="4614" max="4614" width="9.85546875" bestFit="1" customWidth="1"/>
    <col min="4615" max="4615" width="16.85546875" customWidth="1"/>
    <col min="4616" max="4616" width="11.5703125" bestFit="1" customWidth="1"/>
    <col min="4617" max="4617" width="13.28515625" customWidth="1"/>
    <col min="4866" max="4866" width="6" customWidth="1"/>
    <col min="4870" max="4870" width="9.85546875" bestFit="1" customWidth="1"/>
    <col min="4871" max="4871" width="16.85546875" customWidth="1"/>
    <col min="4872" max="4872" width="11.5703125" bestFit="1" customWidth="1"/>
    <col min="4873" max="4873" width="13.28515625" customWidth="1"/>
    <col min="5122" max="5122" width="6" customWidth="1"/>
    <col min="5126" max="5126" width="9.85546875" bestFit="1" customWidth="1"/>
    <col min="5127" max="5127" width="16.85546875" customWidth="1"/>
    <col min="5128" max="5128" width="11.5703125" bestFit="1" customWidth="1"/>
    <col min="5129" max="5129" width="13.28515625" customWidth="1"/>
    <col min="5378" max="5378" width="6" customWidth="1"/>
    <col min="5382" max="5382" width="9.85546875" bestFit="1" customWidth="1"/>
    <col min="5383" max="5383" width="16.85546875" customWidth="1"/>
    <col min="5384" max="5384" width="11.5703125" bestFit="1" customWidth="1"/>
    <col min="5385" max="5385" width="13.28515625" customWidth="1"/>
    <col min="5634" max="5634" width="6" customWidth="1"/>
    <col min="5638" max="5638" width="9.85546875" bestFit="1" customWidth="1"/>
    <col min="5639" max="5639" width="16.85546875" customWidth="1"/>
    <col min="5640" max="5640" width="11.5703125" bestFit="1" customWidth="1"/>
    <col min="5641" max="5641" width="13.28515625" customWidth="1"/>
    <col min="5890" max="5890" width="6" customWidth="1"/>
    <col min="5894" max="5894" width="9.85546875" bestFit="1" customWidth="1"/>
    <col min="5895" max="5895" width="16.85546875" customWidth="1"/>
    <col min="5896" max="5896" width="11.5703125" bestFit="1" customWidth="1"/>
    <col min="5897" max="5897" width="13.28515625" customWidth="1"/>
    <col min="6146" max="6146" width="6" customWidth="1"/>
    <col min="6150" max="6150" width="9.85546875" bestFit="1" customWidth="1"/>
    <col min="6151" max="6151" width="16.85546875" customWidth="1"/>
    <col min="6152" max="6152" width="11.5703125" bestFit="1" customWidth="1"/>
    <col min="6153" max="6153" width="13.28515625" customWidth="1"/>
    <col min="6402" max="6402" width="6" customWidth="1"/>
    <col min="6406" max="6406" width="9.85546875" bestFit="1" customWidth="1"/>
    <col min="6407" max="6407" width="16.85546875" customWidth="1"/>
    <col min="6408" max="6408" width="11.5703125" bestFit="1" customWidth="1"/>
    <col min="6409" max="6409" width="13.28515625" customWidth="1"/>
    <col min="6658" max="6658" width="6" customWidth="1"/>
    <col min="6662" max="6662" width="9.85546875" bestFit="1" customWidth="1"/>
    <col min="6663" max="6663" width="16.85546875" customWidth="1"/>
    <col min="6664" max="6664" width="11.5703125" bestFit="1" customWidth="1"/>
    <col min="6665" max="6665" width="13.28515625" customWidth="1"/>
    <col min="6914" max="6914" width="6" customWidth="1"/>
    <col min="6918" max="6918" width="9.85546875" bestFit="1" customWidth="1"/>
    <col min="6919" max="6919" width="16.85546875" customWidth="1"/>
    <col min="6920" max="6920" width="11.5703125" bestFit="1" customWidth="1"/>
    <col min="6921" max="6921" width="13.28515625" customWidth="1"/>
    <col min="7170" max="7170" width="6" customWidth="1"/>
    <col min="7174" max="7174" width="9.85546875" bestFit="1" customWidth="1"/>
    <col min="7175" max="7175" width="16.85546875" customWidth="1"/>
    <col min="7176" max="7176" width="11.5703125" bestFit="1" customWidth="1"/>
    <col min="7177" max="7177" width="13.28515625" customWidth="1"/>
    <col min="7426" max="7426" width="6" customWidth="1"/>
    <col min="7430" max="7430" width="9.85546875" bestFit="1" customWidth="1"/>
    <col min="7431" max="7431" width="16.85546875" customWidth="1"/>
    <col min="7432" max="7432" width="11.5703125" bestFit="1" customWidth="1"/>
    <col min="7433" max="7433" width="13.28515625" customWidth="1"/>
    <col min="7682" max="7682" width="6" customWidth="1"/>
    <col min="7686" max="7686" width="9.85546875" bestFit="1" customWidth="1"/>
    <col min="7687" max="7687" width="16.85546875" customWidth="1"/>
    <col min="7688" max="7688" width="11.5703125" bestFit="1" customWidth="1"/>
    <col min="7689" max="7689" width="13.28515625" customWidth="1"/>
    <col min="7938" max="7938" width="6" customWidth="1"/>
    <col min="7942" max="7942" width="9.85546875" bestFit="1" customWidth="1"/>
    <col min="7943" max="7943" width="16.85546875" customWidth="1"/>
    <col min="7944" max="7944" width="11.5703125" bestFit="1" customWidth="1"/>
    <col min="7945" max="7945" width="13.28515625" customWidth="1"/>
    <col min="8194" max="8194" width="6" customWidth="1"/>
    <col min="8198" max="8198" width="9.85546875" bestFit="1" customWidth="1"/>
    <col min="8199" max="8199" width="16.85546875" customWidth="1"/>
    <col min="8200" max="8200" width="11.5703125" bestFit="1" customWidth="1"/>
    <col min="8201" max="8201" width="13.28515625" customWidth="1"/>
    <col min="8450" max="8450" width="6" customWidth="1"/>
    <col min="8454" max="8454" width="9.85546875" bestFit="1" customWidth="1"/>
    <col min="8455" max="8455" width="16.85546875" customWidth="1"/>
    <col min="8456" max="8456" width="11.5703125" bestFit="1" customWidth="1"/>
    <col min="8457" max="8457" width="13.28515625" customWidth="1"/>
    <col min="8706" max="8706" width="6" customWidth="1"/>
    <col min="8710" max="8710" width="9.85546875" bestFit="1" customWidth="1"/>
    <col min="8711" max="8711" width="16.85546875" customWidth="1"/>
    <col min="8712" max="8712" width="11.5703125" bestFit="1" customWidth="1"/>
    <col min="8713" max="8713" width="13.28515625" customWidth="1"/>
    <col min="8962" max="8962" width="6" customWidth="1"/>
    <col min="8966" max="8966" width="9.85546875" bestFit="1" customWidth="1"/>
    <col min="8967" max="8967" width="16.85546875" customWidth="1"/>
    <col min="8968" max="8968" width="11.5703125" bestFit="1" customWidth="1"/>
    <col min="8969" max="8969" width="13.28515625" customWidth="1"/>
    <col min="9218" max="9218" width="6" customWidth="1"/>
    <col min="9222" max="9222" width="9.85546875" bestFit="1" customWidth="1"/>
    <col min="9223" max="9223" width="16.85546875" customWidth="1"/>
    <col min="9224" max="9224" width="11.5703125" bestFit="1" customWidth="1"/>
    <col min="9225" max="9225" width="13.28515625" customWidth="1"/>
    <col min="9474" max="9474" width="6" customWidth="1"/>
    <col min="9478" max="9478" width="9.85546875" bestFit="1" customWidth="1"/>
    <col min="9479" max="9479" width="16.85546875" customWidth="1"/>
    <col min="9480" max="9480" width="11.5703125" bestFit="1" customWidth="1"/>
    <col min="9481" max="9481" width="13.28515625" customWidth="1"/>
    <col min="9730" max="9730" width="6" customWidth="1"/>
    <col min="9734" max="9734" width="9.85546875" bestFit="1" customWidth="1"/>
    <col min="9735" max="9735" width="16.85546875" customWidth="1"/>
    <col min="9736" max="9736" width="11.5703125" bestFit="1" customWidth="1"/>
    <col min="9737" max="9737" width="13.28515625" customWidth="1"/>
    <col min="9986" max="9986" width="6" customWidth="1"/>
    <col min="9990" max="9990" width="9.85546875" bestFit="1" customWidth="1"/>
    <col min="9991" max="9991" width="16.85546875" customWidth="1"/>
    <col min="9992" max="9992" width="11.5703125" bestFit="1" customWidth="1"/>
    <col min="9993" max="9993" width="13.28515625" customWidth="1"/>
    <col min="10242" max="10242" width="6" customWidth="1"/>
    <col min="10246" max="10246" width="9.85546875" bestFit="1" customWidth="1"/>
    <col min="10247" max="10247" width="16.85546875" customWidth="1"/>
    <col min="10248" max="10248" width="11.5703125" bestFit="1" customWidth="1"/>
    <col min="10249" max="10249" width="13.28515625" customWidth="1"/>
    <col min="10498" max="10498" width="6" customWidth="1"/>
    <col min="10502" max="10502" width="9.85546875" bestFit="1" customWidth="1"/>
    <col min="10503" max="10503" width="16.85546875" customWidth="1"/>
    <col min="10504" max="10504" width="11.5703125" bestFit="1" customWidth="1"/>
    <col min="10505" max="10505" width="13.28515625" customWidth="1"/>
    <col min="10754" max="10754" width="6" customWidth="1"/>
    <col min="10758" max="10758" width="9.85546875" bestFit="1" customWidth="1"/>
    <col min="10759" max="10759" width="16.85546875" customWidth="1"/>
    <col min="10760" max="10760" width="11.5703125" bestFit="1" customWidth="1"/>
    <col min="10761" max="10761" width="13.28515625" customWidth="1"/>
    <col min="11010" max="11010" width="6" customWidth="1"/>
    <col min="11014" max="11014" width="9.85546875" bestFit="1" customWidth="1"/>
    <col min="11015" max="11015" width="16.85546875" customWidth="1"/>
    <col min="11016" max="11016" width="11.5703125" bestFit="1" customWidth="1"/>
    <col min="11017" max="11017" width="13.28515625" customWidth="1"/>
    <col min="11266" max="11266" width="6" customWidth="1"/>
    <col min="11270" max="11270" width="9.85546875" bestFit="1" customWidth="1"/>
    <col min="11271" max="11271" width="16.85546875" customWidth="1"/>
    <col min="11272" max="11272" width="11.5703125" bestFit="1" customWidth="1"/>
    <col min="11273" max="11273" width="13.28515625" customWidth="1"/>
    <col min="11522" max="11522" width="6" customWidth="1"/>
    <col min="11526" max="11526" width="9.85546875" bestFit="1" customWidth="1"/>
    <col min="11527" max="11527" width="16.85546875" customWidth="1"/>
    <col min="11528" max="11528" width="11.5703125" bestFit="1" customWidth="1"/>
    <col min="11529" max="11529" width="13.28515625" customWidth="1"/>
    <col min="11778" max="11778" width="6" customWidth="1"/>
    <col min="11782" max="11782" width="9.85546875" bestFit="1" customWidth="1"/>
    <col min="11783" max="11783" width="16.85546875" customWidth="1"/>
    <col min="11784" max="11784" width="11.5703125" bestFit="1" customWidth="1"/>
    <col min="11785" max="11785" width="13.28515625" customWidth="1"/>
    <col min="12034" max="12034" width="6" customWidth="1"/>
    <col min="12038" max="12038" width="9.85546875" bestFit="1" customWidth="1"/>
    <col min="12039" max="12039" width="16.85546875" customWidth="1"/>
    <col min="12040" max="12040" width="11.5703125" bestFit="1" customWidth="1"/>
    <col min="12041" max="12041" width="13.28515625" customWidth="1"/>
    <col min="12290" max="12290" width="6" customWidth="1"/>
    <col min="12294" max="12294" width="9.85546875" bestFit="1" customWidth="1"/>
    <col min="12295" max="12295" width="16.85546875" customWidth="1"/>
    <col min="12296" max="12296" width="11.5703125" bestFit="1" customWidth="1"/>
    <col min="12297" max="12297" width="13.28515625" customWidth="1"/>
    <col min="12546" max="12546" width="6" customWidth="1"/>
    <col min="12550" max="12550" width="9.85546875" bestFit="1" customWidth="1"/>
    <col min="12551" max="12551" width="16.85546875" customWidth="1"/>
    <col min="12552" max="12552" width="11.5703125" bestFit="1" customWidth="1"/>
    <col min="12553" max="12553" width="13.28515625" customWidth="1"/>
    <col min="12802" max="12802" width="6" customWidth="1"/>
    <col min="12806" max="12806" width="9.85546875" bestFit="1" customWidth="1"/>
    <col min="12807" max="12807" width="16.85546875" customWidth="1"/>
    <col min="12808" max="12808" width="11.5703125" bestFit="1" customWidth="1"/>
    <col min="12809" max="12809" width="13.28515625" customWidth="1"/>
    <col min="13058" max="13058" width="6" customWidth="1"/>
    <col min="13062" max="13062" width="9.85546875" bestFit="1" customWidth="1"/>
    <col min="13063" max="13063" width="16.85546875" customWidth="1"/>
    <col min="13064" max="13064" width="11.5703125" bestFit="1" customWidth="1"/>
    <col min="13065" max="13065" width="13.28515625" customWidth="1"/>
    <col min="13314" max="13314" width="6" customWidth="1"/>
    <col min="13318" max="13318" width="9.85546875" bestFit="1" customWidth="1"/>
    <col min="13319" max="13319" width="16.85546875" customWidth="1"/>
    <col min="13320" max="13320" width="11.5703125" bestFit="1" customWidth="1"/>
    <col min="13321" max="13321" width="13.28515625" customWidth="1"/>
    <col min="13570" max="13570" width="6" customWidth="1"/>
    <col min="13574" max="13574" width="9.85546875" bestFit="1" customWidth="1"/>
    <col min="13575" max="13575" width="16.85546875" customWidth="1"/>
    <col min="13576" max="13576" width="11.5703125" bestFit="1" customWidth="1"/>
    <col min="13577" max="13577" width="13.28515625" customWidth="1"/>
    <col min="13826" max="13826" width="6" customWidth="1"/>
    <col min="13830" max="13830" width="9.85546875" bestFit="1" customWidth="1"/>
    <col min="13831" max="13831" width="16.85546875" customWidth="1"/>
    <col min="13832" max="13832" width="11.5703125" bestFit="1" customWidth="1"/>
    <col min="13833" max="13833" width="13.28515625" customWidth="1"/>
    <col min="14082" max="14082" width="6" customWidth="1"/>
    <col min="14086" max="14086" width="9.85546875" bestFit="1" customWidth="1"/>
    <col min="14087" max="14087" width="16.85546875" customWidth="1"/>
    <col min="14088" max="14088" width="11.5703125" bestFit="1" customWidth="1"/>
    <col min="14089" max="14089" width="13.28515625" customWidth="1"/>
    <col min="14338" max="14338" width="6" customWidth="1"/>
    <col min="14342" max="14342" width="9.85546875" bestFit="1" customWidth="1"/>
    <col min="14343" max="14343" width="16.85546875" customWidth="1"/>
    <col min="14344" max="14344" width="11.5703125" bestFit="1" customWidth="1"/>
    <col min="14345" max="14345" width="13.28515625" customWidth="1"/>
    <col min="14594" max="14594" width="6" customWidth="1"/>
    <col min="14598" max="14598" width="9.85546875" bestFit="1" customWidth="1"/>
    <col min="14599" max="14599" width="16.85546875" customWidth="1"/>
    <col min="14600" max="14600" width="11.5703125" bestFit="1" customWidth="1"/>
    <col min="14601" max="14601" width="13.28515625" customWidth="1"/>
    <col min="14850" max="14850" width="6" customWidth="1"/>
    <col min="14854" max="14854" width="9.85546875" bestFit="1" customWidth="1"/>
    <col min="14855" max="14855" width="16.85546875" customWidth="1"/>
    <col min="14856" max="14856" width="11.5703125" bestFit="1" customWidth="1"/>
    <col min="14857" max="14857" width="13.28515625" customWidth="1"/>
    <col min="15106" max="15106" width="6" customWidth="1"/>
    <col min="15110" max="15110" width="9.85546875" bestFit="1" customWidth="1"/>
    <col min="15111" max="15111" width="16.85546875" customWidth="1"/>
    <col min="15112" max="15112" width="11.5703125" bestFit="1" customWidth="1"/>
    <col min="15113" max="15113" width="13.28515625" customWidth="1"/>
    <col min="15362" max="15362" width="6" customWidth="1"/>
    <col min="15366" max="15366" width="9.85546875" bestFit="1" customWidth="1"/>
    <col min="15367" max="15367" width="16.85546875" customWidth="1"/>
    <col min="15368" max="15368" width="11.5703125" bestFit="1" customWidth="1"/>
    <col min="15369" max="15369" width="13.28515625" customWidth="1"/>
    <col min="15618" max="15618" width="6" customWidth="1"/>
    <col min="15622" max="15622" width="9.85546875" bestFit="1" customWidth="1"/>
    <col min="15623" max="15623" width="16.85546875" customWidth="1"/>
    <col min="15624" max="15624" width="11.5703125" bestFit="1" customWidth="1"/>
    <col min="15625" max="15625" width="13.28515625" customWidth="1"/>
    <col min="15874" max="15874" width="6" customWidth="1"/>
    <col min="15878" max="15878" width="9.85546875" bestFit="1" customWidth="1"/>
    <col min="15879" max="15879" width="16.85546875" customWidth="1"/>
    <col min="15880" max="15880" width="11.5703125" bestFit="1" customWidth="1"/>
    <col min="15881" max="15881" width="13.28515625" customWidth="1"/>
    <col min="16130" max="16130" width="6" customWidth="1"/>
    <col min="16134" max="16134" width="9.85546875" bestFit="1" customWidth="1"/>
    <col min="16135" max="16135" width="16.85546875" customWidth="1"/>
    <col min="16136" max="16136" width="11.5703125" bestFit="1" customWidth="1"/>
    <col min="16137" max="16137" width="13.28515625" customWidth="1"/>
  </cols>
  <sheetData>
    <row r="1" spans="2:15" ht="15.75" thickBot="1" x14ac:dyDescent="0.3"/>
    <row r="2" spans="2:15" x14ac:dyDescent="0.25">
      <c r="B2" s="115" t="s">
        <v>64</v>
      </c>
      <c r="C2" s="116"/>
      <c r="D2" s="116"/>
      <c r="E2" s="116"/>
      <c r="F2" s="116"/>
      <c r="G2" s="116"/>
      <c r="H2" s="116"/>
      <c r="I2" s="117"/>
    </row>
    <row r="3" spans="2:15" ht="15.75" thickBot="1" x14ac:dyDescent="0.3">
      <c r="B3" s="118"/>
      <c r="C3" s="119"/>
      <c r="D3" s="119"/>
      <c r="E3" s="119"/>
      <c r="F3" s="119"/>
      <c r="G3" s="119"/>
      <c r="H3" s="119"/>
      <c r="I3" s="120"/>
    </row>
    <row r="6" spans="2:15" ht="15.75" thickBot="1" x14ac:dyDescent="0.3"/>
    <row r="7" spans="2:15" x14ac:dyDescent="0.25">
      <c r="B7" s="121" t="s">
        <v>0</v>
      </c>
      <c r="C7" s="123" t="s">
        <v>1</v>
      </c>
      <c r="D7" s="124"/>
      <c r="E7" s="125"/>
      <c r="F7" s="121" t="s">
        <v>2</v>
      </c>
      <c r="G7" s="129" t="s">
        <v>3</v>
      </c>
      <c r="H7" s="129" t="s">
        <v>4</v>
      </c>
      <c r="I7" s="1"/>
    </row>
    <row r="8" spans="2:15" ht="31.5" customHeight="1" thickBot="1" x14ac:dyDescent="0.3">
      <c r="B8" s="122"/>
      <c r="C8" s="126"/>
      <c r="D8" s="127"/>
      <c r="E8" s="128"/>
      <c r="F8" s="122"/>
      <c r="G8" s="130"/>
      <c r="H8" s="130"/>
      <c r="I8" s="2" t="s">
        <v>5</v>
      </c>
    </row>
    <row r="9" spans="2:15" ht="15.75" thickBot="1" x14ac:dyDescent="0.3">
      <c r="B9" s="3">
        <v>1</v>
      </c>
      <c r="C9" s="100" t="s">
        <v>6</v>
      </c>
      <c r="D9" s="101"/>
      <c r="E9" s="102"/>
      <c r="F9" s="4">
        <v>160</v>
      </c>
      <c r="G9" s="5">
        <v>1.62</v>
      </c>
      <c r="H9" s="5">
        <f>+F9*G9</f>
        <v>259.20000000000005</v>
      </c>
      <c r="I9" s="5">
        <f>F9*G9</f>
        <v>259.20000000000005</v>
      </c>
    </row>
    <row r="10" spans="2:15" ht="15.75" thickBot="1" x14ac:dyDescent="0.3">
      <c r="B10" s="3">
        <v>2</v>
      </c>
      <c r="C10" s="100" t="s">
        <v>7</v>
      </c>
      <c r="D10" s="101"/>
      <c r="E10" s="102"/>
      <c r="F10" s="4">
        <v>190</v>
      </c>
      <c r="G10" s="5">
        <v>2.2000000000000002</v>
      </c>
      <c r="H10" s="5">
        <f t="shared" ref="H9:H17" si="0">+F10*G10</f>
        <v>418.00000000000006</v>
      </c>
      <c r="I10" s="5">
        <f t="shared" ref="I10:I17" si="1">F10*G10</f>
        <v>418.00000000000006</v>
      </c>
      <c r="J10" s="113" t="s">
        <v>8</v>
      </c>
      <c r="K10" s="114"/>
      <c r="L10" s="114"/>
      <c r="M10" s="114"/>
      <c r="N10" s="114"/>
      <c r="O10" s="114"/>
    </row>
    <row r="11" spans="2:15" ht="15.75" thickBot="1" x14ac:dyDescent="0.3">
      <c r="B11" s="3">
        <v>3</v>
      </c>
      <c r="C11" s="100" t="s">
        <v>9</v>
      </c>
      <c r="D11" s="101"/>
      <c r="E11" s="102"/>
      <c r="F11" s="6">
        <v>30</v>
      </c>
      <c r="G11" s="5">
        <v>1.66</v>
      </c>
      <c r="H11" s="5">
        <f t="shared" si="0"/>
        <v>49.8</v>
      </c>
      <c r="I11" s="5">
        <f t="shared" si="1"/>
        <v>49.8</v>
      </c>
    </row>
    <row r="12" spans="2:15" ht="15.75" thickBot="1" x14ac:dyDescent="0.3">
      <c r="B12" s="3">
        <v>4</v>
      </c>
      <c r="C12" s="100" t="s">
        <v>10</v>
      </c>
      <c r="D12" s="101"/>
      <c r="E12" s="102"/>
      <c r="F12" s="6"/>
      <c r="G12" s="6"/>
      <c r="H12" s="5">
        <f t="shared" si="0"/>
        <v>0</v>
      </c>
      <c r="I12" s="5">
        <f t="shared" si="1"/>
        <v>0</v>
      </c>
    </row>
    <row r="13" spans="2:15" ht="15.75" thickBot="1" x14ac:dyDescent="0.3">
      <c r="B13" s="3">
        <v>5</v>
      </c>
      <c r="C13" s="100" t="s">
        <v>11</v>
      </c>
      <c r="D13" s="101"/>
      <c r="E13" s="102"/>
      <c r="F13" s="6">
        <v>3</v>
      </c>
      <c r="G13" s="5">
        <v>3.99</v>
      </c>
      <c r="H13" s="5">
        <f t="shared" si="0"/>
        <v>11.97</v>
      </c>
      <c r="I13" s="5">
        <f t="shared" si="1"/>
        <v>11.97</v>
      </c>
    </row>
    <row r="14" spans="2:15" ht="15.75" thickBot="1" x14ac:dyDescent="0.3">
      <c r="B14" s="3">
        <v>6</v>
      </c>
      <c r="C14" s="100" t="s">
        <v>12</v>
      </c>
      <c r="D14" s="101"/>
      <c r="E14" s="102"/>
      <c r="F14" s="6">
        <v>6</v>
      </c>
      <c r="G14" s="5">
        <v>6.23</v>
      </c>
      <c r="H14" s="5">
        <f>+F14*G14</f>
        <v>37.380000000000003</v>
      </c>
      <c r="I14" s="5">
        <f t="shared" si="1"/>
        <v>37.380000000000003</v>
      </c>
    </row>
    <row r="15" spans="2:15" ht="15.75" thickBot="1" x14ac:dyDescent="0.3">
      <c r="B15" s="3">
        <v>7</v>
      </c>
      <c r="C15" s="100" t="s">
        <v>13</v>
      </c>
      <c r="D15" s="101"/>
      <c r="E15" s="102"/>
      <c r="F15" s="6">
        <v>275</v>
      </c>
      <c r="G15" s="5">
        <v>0.15</v>
      </c>
      <c r="H15" s="5">
        <f>+F15*G15</f>
        <v>41.25</v>
      </c>
      <c r="I15" s="6">
        <f t="shared" si="1"/>
        <v>41.25</v>
      </c>
    </row>
    <row r="16" spans="2:15" ht="15.75" thickBot="1" x14ac:dyDescent="0.3">
      <c r="B16" s="3">
        <v>8</v>
      </c>
      <c r="C16" s="100" t="s">
        <v>14</v>
      </c>
      <c r="D16" s="101"/>
      <c r="E16" s="102"/>
      <c r="F16" s="6">
        <v>275</v>
      </c>
      <c r="G16" s="5">
        <v>0.17</v>
      </c>
      <c r="H16" s="5">
        <f>+F16*G16</f>
        <v>46.75</v>
      </c>
      <c r="I16" s="5">
        <f t="shared" si="1"/>
        <v>46.75</v>
      </c>
    </row>
    <row r="17" spans="2:14" ht="15.75" thickBot="1" x14ac:dyDescent="0.3">
      <c r="B17" s="3">
        <v>9</v>
      </c>
      <c r="C17" s="100" t="s">
        <v>15</v>
      </c>
      <c r="D17" s="101"/>
      <c r="E17" s="102"/>
      <c r="F17" s="6">
        <v>75</v>
      </c>
      <c r="G17" s="5">
        <v>3.56</v>
      </c>
      <c r="H17" s="5">
        <f t="shared" si="0"/>
        <v>267</v>
      </c>
      <c r="I17" s="5">
        <f t="shared" si="1"/>
        <v>267</v>
      </c>
      <c r="J17" s="111" t="s">
        <v>16</v>
      </c>
      <c r="K17" s="112"/>
      <c r="L17" s="112"/>
      <c r="M17" s="112"/>
      <c r="N17" s="112"/>
    </row>
    <row r="18" spans="2:14" ht="15.75" thickBot="1" x14ac:dyDescent="0.3">
      <c r="B18" s="103" t="s">
        <v>17</v>
      </c>
      <c r="C18" s="104"/>
      <c r="D18" s="104"/>
      <c r="E18" s="105"/>
      <c r="F18" s="7">
        <f>SUM(F9:F17)</f>
        <v>1014</v>
      </c>
      <c r="G18" s="8"/>
      <c r="H18" s="34">
        <f>SUM(H9:H17)</f>
        <v>1131.3499999999999</v>
      </c>
      <c r="I18" s="10">
        <f>SUM(I9:I17)</f>
        <v>1131.3499999999999</v>
      </c>
    </row>
    <row r="19" spans="2:14" ht="15.75" thickBot="1" x14ac:dyDescent="0.3">
      <c r="B19" s="3">
        <v>1</v>
      </c>
      <c r="C19" s="100" t="s">
        <v>18</v>
      </c>
      <c r="D19" s="101"/>
      <c r="E19" s="102"/>
      <c r="F19" s="6">
        <v>39</v>
      </c>
      <c r="G19" s="5">
        <v>2.98</v>
      </c>
      <c r="H19" s="5">
        <f>+F19*G19</f>
        <v>116.22</v>
      </c>
      <c r="I19" s="6"/>
    </row>
    <row r="20" spans="2:14" ht="15.75" thickBot="1" x14ac:dyDescent="0.3">
      <c r="B20" s="11">
        <v>2</v>
      </c>
      <c r="C20" s="100" t="s">
        <v>19</v>
      </c>
      <c r="D20" s="101"/>
      <c r="E20" s="102"/>
      <c r="F20" s="12">
        <v>39</v>
      </c>
      <c r="G20" s="13">
        <v>0.13</v>
      </c>
      <c r="H20" s="12">
        <f>+F20*G20</f>
        <v>5.07</v>
      </c>
      <c r="I20" s="8"/>
    </row>
    <row r="21" spans="2:14" ht="15.75" thickBot="1" x14ac:dyDescent="0.3">
      <c r="B21" s="103" t="s">
        <v>17</v>
      </c>
      <c r="C21" s="104"/>
      <c r="D21" s="104"/>
      <c r="E21" s="105"/>
      <c r="F21" s="8"/>
      <c r="G21" s="8"/>
      <c r="H21" s="39">
        <f>SUM(H19:H20)</f>
        <v>121.28999999999999</v>
      </c>
      <c r="I21" s="8"/>
    </row>
    <row r="22" spans="2:14" ht="15.75" thickBot="1" x14ac:dyDescent="0.3">
      <c r="C22" s="97" t="s">
        <v>65</v>
      </c>
      <c r="D22" s="106"/>
      <c r="E22" s="106"/>
      <c r="F22" s="106"/>
      <c r="G22" s="107"/>
      <c r="H22" s="15">
        <f>H18+H21</f>
        <v>1252.6399999999999</v>
      </c>
      <c r="I22" s="6">
        <f>I18+I21</f>
        <v>1131.3499999999999</v>
      </c>
    </row>
    <row r="23" spans="2:14" ht="15.75" thickBot="1" x14ac:dyDescent="0.3">
      <c r="C23" s="108" t="s">
        <v>20</v>
      </c>
      <c r="D23" s="109"/>
      <c r="E23" s="109"/>
      <c r="F23" s="109"/>
      <c r="G23" s="110"/>
      <c r="H23" s="5">
        <f>H22*20/100</f>
        <v>250.52799999999996</v>
      </c>
      <c r="I23" s="5">
        <f>I22*20/100</f>
        <v>226.27</v>
      </c>
    </row>
    <row r="24" spans="2:14" ht="15.75" thickBot="1" x14ac:dyDescent="0.3">
      <c r="C24" s="97" t="s">
        <v>21</v>
      </c>
      <c r="D24" s="98"/>
      <c r="E24" s="98"/>
      <c r="F24" s="98"/>
      <c r="G24" s="99"/>
      <c r="H24" s="16">
        <f>SUM(H22:H23)</f>
        <v>1503.1679999999999</v>
      </c>
      <c r="I24" s="17">
        <f>SUM(I22:I23)</f>
        <v>1357.62</v>
      </c>
    </row>
    <row r="25" spans="2:14" x14ac:dyDescent="0.25">
      <c r="C25" s="85" t="s">
        <v>66</v>
      </c>
      <c r="D25" s="86"/>
      <c r="E25" s="86"/>
      <c r="F25" s="86"/>
      <c r="G25" s="87"/>
      <c r="H25" s="18">
        <f>+H24/1000</f>
        <v>1.5031679999999998</v>
      </c>
      <c r="I25" s="18">
        <f>+I24/1000</f>
        <v>1.3576199999999998</v>
      </c>
    </row>
    <row r="26" spans="2:14" x14ac:dyDescent="0.25">
      <c r="C26" s="88"/>
      <c r="D26" s="89"/>
      <c r="E26" s="89"/>
      <c r="F26" s="89"/>
      <c r="G26" s="90"/>
      <c r="H26" s="19"/>
      <c r="I26" s="20"/>
      <c r="L26" s="21"/>
    </row>
    <row r="27" spans="2:14" x14ac:dyDescent="0.25">
      <c r="C27" s="88"/>
      <c r="D27" s="91"/>
      <c r="E27" s="91"/>
      <c r="F27" s="91"/>
      <c r="G27" s="92"/>
      <c r="H27" s="22"/>
      <c r="I27" s="19"/>
      <c r="L27" s="21"/>
    </row>
    <row r="28" spans="2:14" x14ac:dyDescent="0.25">
      <c r="C28" s="93"/>
      <c r="D28" s="94"/>
      <c r="E28" s="94"/>
      <c r="F28" s="94"/>
      <c r="G28" s="95"/>
      <c r="H28" s="19"/>
      <c r="I28" s="23"/>
    </row>
    <row r="29" spans="2:14" x14ac:dyDescent="0.25">
      <c r="D29" s="96"/>
      <c r="E29" s="96"/>
      <c r="F29" s="96"/>
      <c r="G29" s="96"/>
      <c r="J29" s="24"/>
    </row>
  </sheetData>
  <mergeCells count="29">
    <mergeCell ref="B2:I3"/>
    <mergeCell ref="B7:B8"/>
    <mergeCell ref="C7:E8"/>
    <mergeCell ref="F7:F8"/>
    <mergeCell ref="G7:G8"/>
    <mergeCell ref="H7:H8"/>
    <mergeCell ref="J17:N17"/>
    <mergeCell ref="B18:E18"/>
    <mergeCell ref="C9:E9"/>
    <mergeCell ref="C10:E10"/>
    <mergeCell ref="J10:O10"/>
    <mergeCell ref="C11:E11"/>
    <mergeCell ref="C12:E12"/>
    <mergeCell ref="C13:E13"/>
    <mergeCell ref="C24:G24"/>
    <mergeCell ref="C14:E14"/>
    <mergeCell ref="C15:E15"/>
    <mergeCell ref="C16:E16"/>
    <mergeCell ref="C17:E17"/>
    <mergeCell ref="C19:E19"/>
    <mergeCell ref="C20:E20"/>
    <mergeCell ref="B21:E21"/>
    <mergeCell ref="C22:G22"/>
    <mergeCell ref="C23:G23"/>
    <mergeCell ref="C25:G25"/>
    <mergeCell ref="C26:G26"/>
    <mergeCell ref="C27:G27"/>
    <mergeCell ref="C28:G28"/>
    <mergeCell ref="D29:G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topLeftCell="A7" workbookViewId="0">
      <selection activeCell="O12" sqref="O12"/>
    </sheetView>
  </sheetViews>
  <sheetFormatPr defaultRowHeight="15" x14ac:dyDescent="0.25"/>
  <cols>
    <col min="2" max="2" width="6" customWidth="1"/>
    <col min="6" max="7" width="16.28515625" customWidth="1"/>
    <col min="9" max="9" width="14.7109375" customWidth="1"/>
    <col min="10" max="10" width="9" customWidth="1"/>
    <col min="258" max="258" width="6" customWidth="1"/>
    <col min="262" max="263" width="16.28515625" customWidth="1"/>
    <col min="265" max="265" width="14.7109375" customWidth="1"/>
    <col min="266" max="266" width="9" customWidth="1"/>
    <col min="514" max="514" width="6" customWidth="1"/>
    <col min="518" max="519" width="16.28515625" customWidth="1"/>
    <col min="521" max="521" width="14.7109375" customWidth="1"/>
    <col min="522" max="522" width="9" customWidth="1"/>
    <col min="770" max="770" width="6" customWidth="1"/>
    <col min="774" max="775" width="16.28515625" customWidth="1"/>
    <col min="777" max="777" width="14.7109375" customWidth="1"/>
    <col min="778" max="778" width="9" customWidth="1"/>
    <col min="1026" max="1026" width="6" customWidth="1"/>
    <col min="1030" max="1031" width="16.28515625" customWidth="1"/>
    <col min="1033" max="1033" width="14.7109375" customWidth="1"/>
    <col min="1034" max="1034" width="9" customWidth="1"/>
    <col min="1282" max="1282" width="6" customWidth="1"/>
    <col min="1286" max="1287" width="16.28515625" customWidth="1"/>
    <col min="1289" max="1289" width="14.7109375" customWidth="1"/>
    <col min="1290" max="1290" width="9" customWidth="1"/>
    <col min="1538" max="1538" width="6" customWidth="1"/>
    <col min="1542" max="1543" width="16.28515625" customWidth="1"/>
    <col min="1545" max="1545" width="14.7109375" customWidth="1"/>
    <col min="1546" max="1546" width="9" customWidth="1"/>
    <col min="1794" max="1794" width="6" customWidth="1"/>
    <col min="1798" max="1799" width="16.28515625" customWidth="1"/>
    <col min="1801" max="1801" width="14.7109375" customWidth="1"/>
    <col min="1802" max="1802" width="9" customWidth="1"/>
    <col min="2050" max="2050" width="6" customWidth="1"/>
    <col min="2054" max="2055" width="16.28515625" customWidth="1"/>
    <col min="2057" max="2057" width="14.7109375" customWidth="1"/>
    <col min="2058" max="2058" width="9" customWidth="1"/>
    <col min="2306" max="2306" width="6" customWidth="1"/>
    <col min="2310" max="2311" width="16.28515625" customWidth="1"/>
    <col min="2313" max="2313" width="14.7109375" customWidth="1"/>
    <col min="2314" max="2314" width="9" customWidth="1"/>
    <col min="2562" max="2562" width="6" customWidth="1"/>
    <col min="2566" max="2567" width="16.28515625" customWidth="1"/>
    <col min="2569" max="2569" width="14.7109375" customWidth="1"/>
    <col min="2570" max="2570" width="9" customWidth="1"/>
    <col min="2818" max="2818" width="6" customWidth="1"/>
    <col min="2822" max="2823" width="16.28515625" customWidth="1"/>
    <col min="2825" max="2825" width="14.7109375" customWidth="1"/>
    <col min="2826" max="2826" width="9" customWidth="1"/>
    <col min="3074" max="3074" width="6" customWidth="1"/>
    <col min="3078" max="3079" width="16.28515625" customWidth="1"/>
    <col min="3081" max="3081" width="14.7109375" customWidth="1"/>
    <col min="3082" max="3082" width="9" customWidth="1"/>
    <col min="3330" max="3330" width="6" customWidth="1"/>
    <col min="3334" max="3335" width="16.28515625" customWidth="1"/>
    <col min="3337" max="3337" width="14.7109375" customWidth="1"/>
    <col min="3338" max="3338" width="9" customWidth="1"/>
    <col min="3586" max="3586" width="6" customWidth="1"/>
    <col min="3590" max="3591" width="16.28515625" customWidth="1"/>
    <col min="3593" max="3593" width="14.7109375" customWidth="1"/>
    <col min="3594" max="3594" width="9" customWidth="1"/>
    <col min="3842" max="3842" width="6" customWidth="1"/>
    <col min="3846" max="3847" width="16.28515625" customWidth="1"/>
    <col min="3849" max="3849" width="14.7109375" customWidth="1"/>
    <col min="3850" max="3850" width="9" customWidth="1"/>
    <col min="4098" max="4098" width="6" customWidth="1"/>
    <col min="4102" max="4103" width="16.28515625" customWidth="1"/>
    <col min="4105" max="4105" width="14.7109375" customWidth="1"/>
    <col min="4106" max="4106" width="9" customWidth="1"/>
    <col min="4354" max="4354" width="6" customWidth="1"/>
    <col min="4358" max="4359" width="16.28515625" customWidth="1"/>
    <col min="4361" max="4361" width="14.7109375" customWidth="1"/>
    <col min="4362" max="4362" width="9" customWidth="1"/>
    <col min="4610" max="4610" width="6" customWidth="1"/>
    <col min="4614" max="4615" width="16.28515625" customWidth="1"/>
    <col min="4617" max="4617" width="14.7109375" customWidth="1"/>
    <col min="4618" max="4618" width="9" customWidth="1"/>
    <col min="4866" max="4866" width="6" customWidth="1"/>
    <col min="4870" max="4871" width="16.28515625" customWidth="1"/>
    <col min="4873" max="4873" width="14.7109375" customWidth="1"/>
    <col min="4874" max="4874" width="9" customWidth="1"/>
    <col min="5122" max="5122" width="6" customWidth="1"/>
    <col min="5126" max="5127" width="16.28515625" customWidth="1"/>
    <col min="5129" max="5129" width="14.7109375" customWidth="1"/>
    <col min="5130" max="5130" width="9" customWidth="1"/>
    <col min="5378" max="5378" width="6" customWidth="1"/>
    <col min="5382" max="5383" width="16.28515625" customWidth="1"/>
    <col min="5385" max="5385" width="14.7109375" customWidth="1"/>
    <col min="5386" max="5386" width="9" customWidth="1"/>
    <col min="5634" max="5634" width="6" customWidth="1"/>
    <col min="5638" max="5639" width="16.28515625" customWidth="1"/>
    <col min="5641" max="5641" width="14.7109375" customWidth="1"/>
    <col min="5642" max="5642" width="9" customWidth="1"/>
    <col min="5890" max="5890" width="6" customWidth="1"/>
    <col min="5894" max="5895" width="16.28515625" customWidth="1"/>
    <col min="5897" max="5897" width="14.7109375" customWidth="1"/>
    <col min="5898" max="5898" width="9" customWidth="1"/>
    <col min="6146" max="6146" width="6" customWidth="1"/>
    <col min="6150" max="6151" width="16.28515625" customWidth="1"/>
    <col min="6153" max="6153" width="14.7109375" customWidth="1"/>
    <col min="6154" max="6154" width="9" customWidth="1"/>
    <col min="6402" max="6402" width="6" customWidth="1"/>
    <col min="6406" max="6407" width="16.28515625" customWidth="1"/>
    <col min="6409" max="6409" width="14.7109375" customWidth="1"/>
    <col min="6410" max="6410" width="9" customWidth="1"/>
    <col min="6658" max="6658" width="6" customWidth="1"/>
    <col min="6662" max="6663" width="16.28515625" customWidth="1"/>
    <col min="6665" max="6665" width="14.7109375" customWidth="1"/>
    <col min="6666" max="6666" width="9" customWidth="1"/>
    <col min="6914" max="6914" width="6" customWidth="1"/>
    <col min="6918" max="6919" width="16.28515625" customWidth="1"/>
    <col min="6921" max="6921" width="14.7109375" customWidth="1"/>
    <col min="6922" max="6922" width="9" customWidth="1"/>
    <col min="7170" max="7170" width="6" customWidth="1"/>
    <col min="7174" max="7175" width="16.28515625" customWidth="1"/>
    <col min="7177" max="7177" width="14.7109375" customWidth="1"/>
    <col min="7178" max="7178" width="9" customWidth="1"/>
    <col min="7426" max="7426" width="6" customWidth="1"/>
    <col min="7430" max="7431" width="16.28515625" customWidth="1"/>
    <col min="7433" max="7433" width="14.7109375" customWidth="1"/>
    <col min="7434" max="7434" width="9" customWidth="1"/>
    <col min="7682" max="7682" width="6" customWidth="1"/>
    <col min="7686" max="7687" width="16.28515625" customWidth="1"/>
    <col min="7689" max="7689" width="14.7109375" customWidth="1"/>
    <col min="7690" max="7690" width="9" customWidth="1"/>
    <col min="7938" max="7938" width="6" customWidth="1"/>
    <col min="7942" max="7943" width="16.28515625" customWidth="1"/>
    <col min="7945" max="7945" width="14.7109375" customWidth="1"/>
    <col min="7946" max="7946" width="9" customWidth="1"/>
    <col min="8194" max="8194" width="6" customWidth="1"/>
    <col min="8198" max="8199" width="16.28515625" customWidth="1"/>
    <col min="8201" max="8201" width="14.7109375" customWidth="1"/>
    <col min="8202" max="8202" width="9" customWidth="1"/>
    <col min="8450" max="8450" width="6" customWidth="1"/>
    <col min="8454" max="8455" width="16.28515625" customWidth="1"/>
    <col min="8457" max="8457" width="14.7109375" customWidth="1"/>
    <col min="8458" max="8458" width="9" customWidth="1"/>
    <col min="8706" max="8706" width="6" customWidth="1"/>
    <col min="8710" max="8711" width="16.28515625" customWidth="1"/>
    <col min="8713" max="8713" width="14.7109375" customWidth="1"/>
    <col min="8714" max="8714" width="9" customWidth="1"/>
    <col min="8962" max="8962" width="6" customWidth="1"/>
    <col min="8966" max="8967" width="16.28515625" customWidth="1"/>
    <col min="8969" max="8969" width="14.7109375" customWidth="1"/>
    <col min="8970" max="8970" width="9" customWidth="1"/>
    <col min="9218" max="9218" width="6" customWidth="1"/>
    <col min="9222" max="9223" width="16.28515625" customWidth="1"/>
    <col min="9225" max="9225" width="14.7109375" customWidth="1"/>
    <col min="9226" max="9226" width="9" customWidth="1"/>
    <col min="9474" max="9474" width="6" customWidth="1"/>
    <col min="9478" max="9479" width="16.28515625" customWidth="1"/>
    <col min="9481" max="9481" width="14.7109375" customWidth="1"/>
    <col min="9482" max="9482" width="9" customWidth="1"/>
    <col min="9730" max="9730" width="6" customWidth="1"/>
    <col min="9734" max="9735" width="16.28515625" customWidth="1"/>
    <col min="9737" max="9737" width="14.7109375" customWidth="1"/>
    <col min="9738" max="9738" width="9" customWidth="1"/>
    <col min="9986" max="9986" width="6" customWidth="1"/>
    <col min="9990" max="9991" width="16.28515625" customWidth="1"/>
    <col min="9993" max="9993" width="14.7109375" customWidth="1"/>
    <col min="9994" max="9994" width="9" customWidth="1"/>
    <col min="10242" max="10242" width="6" customWidth="1"/>
    <col min="10246" max="10247" width="16.28515625" customWidth="1"/>
    <col min="10249" max="10249" width="14.7109375" customWidth="1"/>
    <col min="10250" max="10250" width="9" customWidth="1"/>
    <col min="10498" max="10498" width="6" customWidth="1"/>
    <col min="10502" max="10503" width="16.28515625" customWidth="1"/>
    <col min="10505" max="10505" width="14.7109375" customWidth="1"/>
    <col min="10506" max="10506" width="9" customWidth="1"/>
    <col min="10754" max="10754" width="6" customWidth="1"/>
    <col min="10758" max="10759" width="16.28515625" customWidth="1"/>
    <col min="10761" max="10761" width="14.7109375" customWidth="1"/>
    <col min="10762" max="10762" width="9" customWidth="1"/>
    <col min="11010" max="11010" width="6" customWidth="1"/>
    <col min="11014" max="11015" width="16.28515625" customWidth="1"/>
    <col min="11017" max="11017" width="14.7109375" customWidth="1"/>
    <col min="11018" max="11018" width="9" customWidth="1"/>
    <col min="11266" max="11266" width="6" customWidth="1"/>
    <col min="11270" max="11271" width="16.28515625" customWidth="1"/>
    <col min="11273" max="11273" width="14.7109375" customWidth="1"/>
    <col min="11274" max="11274" width="9" customWidth="1"/>
    <col min="11522" max="11522" width="6" customWidth="1"/>
    <col min="11526" max="11527" width="16.28515625" customWidth="1"/>
    <col min="11529" max="11529" width="14.7109375" customWidth="1"/>
    <col min="11530" max="11530" width="9" customWidth="1"/>
    <col min="11778" max="11778" width="6" customWidth="1"/>
    <col min="11782" max="11783" width="16.28515625" customWidth="1"/>
    <col min="11785" max="11785" width="14.7109375" customWidth="1"/>
    <col min="11786" max="11786" width="9" customWidth="1"/>
    <col min="12034" max="12034" width="6" customWidth="1"/>
    <col min="12038" max="12039" width="16.28515625" customWidth="1"/>
    <col min="12041" max="12041" width="14.7109375" customWidth="1"/>
    <col min="12042" max="12042" width="9" customWidth="1"/>
    <col min="12290" max="12290" width="6" customWidth="1"/>
    <col min="12294" max="12295" width="16.28515625" customWidth="1"/>
    <col min="12297" max="12297" width="14.7109375" customWidth="1"/>
    <col min="12298" max="12298" width="9" customWidth="1"/>
    <col min="12546" max="12546" width="6" customWidth="1"/>
    <col min="12550" max="12551" width="16.28515625" customWidth="1"/>
    <col min="12553" max="12553" width="14.7109375" customWidth="1"/>
    <col min="12554" max="12554" width="9" customWidth="1"/>
    <col min="12802" max="12802" width="6" customWidth="1"/>
    <col min="12806" max="12807" width="16.28515625" customWidth="1"/>
    <col min="12809" max="12809" width="14.7109375" customWidth="1"/>
    <col min="12810" max="12810" width="9" customWidth="1"/>
    <col min="13058" max="13058" width="6" customWidth="1"/>
    <col min="13062" max="13063" width="16.28515625" customWidth="1"/>
    <col min="13065" max="13065" width="14.7109375" customWidth="1"/>
    <col min="13066" max="13066" width="9" customWidth="1"/>
    <col min="13314" max="13314" width="6" customWidth="1"/>
    <col min="13318" max="13319" width="16.28515625" customWidth="1"/>
    <col min="13321" max="13321" width="14.7109375" customWidth="1"/>
    <col min="13322" max="13322" width="9" customWidth="1"/>
    <col min="13570" max="13570" width="6" customWidth="1"/>
    <col min="13574" max="13575" width="16.28515625" customWidth="1"/>
    <col min="13577" max="13577" width="14.7109375" customWidth="1"/>
    <col min="13578" max="13578" width="9" customWidth="1"/>
    <col min="13826" max="13826" width="6" customWidth="1"/>
    <col min="13830" max="13831" width="16.28515625" customWidth="1"/>
    <col min="13833" max="13833" width="14.7109375" customWidth="1"/>
    <col min="13834" max="13834" width="9" customWidth="1"/>
    <col min="14082" max="14082" width="6" customWidth="1"/>
    <col min="14086" max="14087" width="16.28515625" customWidth="1"/>
    <col min="14089" max="14089" width="14.7109375" customWidth="1"/>
    <col min="14090" max="14090" width="9" customWidth="1"/>
    <col min="14338" max="14338" width="6" customWidth="1"/>
    <col min="14342" max="14343" width="16.28515625" customWidth="1"/>
    <col min="14345" max="14345" width="14.7109375" customWidth="1"/>
    <col min="14346" max="14346" width="9" customWidth="1"/>
    <col min="14594" max="14594" width="6" customWidth="1"/>
    <col min="14598" max="14599" width="16.28515625" customWidth="1"/>
    <col min="14601" max="14601" width="14.7109375" customWidth="1"/>
    <col min="14602" max="14602" width="9" customWidth="1"/>
    <col min="14850" max="14850" width="6" customWidth="1"/>
    <col min="14854" max="14855" width="16.28515625" customWidth="1"/>
    <col min="14857" max="14857" width="14.7109375" customWidth="1"/>
    <col min="14858" max="14858" width="9" customWidth="1"/>
    <col min="15106" max="15106" width="6" customWidth="1"/>
    <col min="15110" max="15111" width="16.28515625" customWidth="1"/>
    <col min="15113" max="15113" width="14.7109375" customWidth="1"/>
    <col min="15114" max="15114" width="9" customWidth="1"/>
    <col min="15362" max="15362" width="6" customWidth="1"/>
    <col min="15366" max="15367" width="16.28515625" customWidth="1"/>
    <col min="15369" max="15369" width="14.7109375" customWidth="1"/>
    <col min="15370" max="15370" width="9" customWidth="1"/>
    <col min="15618" max="15618" width="6" customWidth="1"/>
    <col min="15622" max="15623" width="16.28515625" customWidth="1"/>
    <col min="15625" max="15625" width="14.7109375" customWidth="1"/>
    <col min="15626" max="15626" width="9" customWidth="1"/>
    <col min="15874" max="15874" width="6" customWidth="1"/>
    <col min="15878" max="15879" width="16.28515625" customWidth="1"/>
    <col min="15881" max="15881" width="14.7109375" customWidth="1"/>
    <col min="15882" max="15882" width="9" customWidth="1"/>
    <col min="16130" max="16130" width="6" customWidth="1"/>
    <col min="16134" max="16135" width="16.28515625" customWidth="1"/>
    <col min="16137" max="16137" width="14.7109375" customWidth="1"/>
    <col min="16138" max="16138" width="9" customWidth="1"/>
  </cols>
  <sheetData>
    <row r="1" spans="2:17" ht="15.75" thickBot="1" x14ac:dyDescent="0.3"/>
    <row r="2" spans="2:17" x14ac:dyDescent="0.25">
      <c r="B2" s="115" t="s">
        <v>67</v>
      </c>
      <c r="C2" s="116"/>
      <c r="D2" s="116"/>
      <c r="E2" s="116"/>
      <c r="F2" s="116"/>
      <c r="G2" s="116"/>
      <c r="H2" s="116"/>
      <c r="I2" s="117"/>
    </row>
    <row r="3" spans="2:17" ht="15.75" thickBot="1" x14ac:dyDescent="0.3">
      <c r="B3" s="118"/>
      <c r="C3" s="119"/>
      <c r="D3" s="119"/>
      <c r="E3" s="119"/>
      <c r="F3" s="119"/>
      <c r="G3" s="119"/>
      <c r="H3" s="119"/>
      <c r="I3" s="120"/>
    </row>
    <row r="6" spans="2:17" ht="15.75" thickBot="1" x14ac:dyDescent="0.3"/>
    <row r="7" spans="2:17" x14ac:dyDescent="0.25">
      <c r="B7" s="121" t="s">
        <v>0</v>
      </c>
      <c r="C7" s="123" t="s">
        <v>1</v>
      </c>
      <c r="D7" s="124"/>
      <c r="E7" s="125"/>
      <c r="F7" s="121" t="s">
        <v>2</v>
      </c>
      <c r="G7" s="129" t="s">
        <v>3</v>
      </c>
      <c r="H7" s="129" t="s">
        <v>4</v>
      </c>
      <c r="I7" s="1"/>
    </row>
    <row r="8" spans="2:17" ht="31.5" customHeight="1" thickBot="1" x14ac:dyDescent="0.3">
      <c r="B8" s="122"/>
      <c r="C8" s="126"/>
      <c r="D8" s="127"/>
      <c r="E8" s="128"/>
      <c r="F8" s="122"/>
      <c r="G8" s="130"/>
      <c r="H8" s="130"/>
      <c r="I8" s="26" t="s">
        <v>5</v>
      </c>
    </row>
    <row r="9" spans="2:17" ht="15.75" thickBot="1" x14ac:dyDescent="0.3">
      <c r="B9" s="3">
        <v>1</v>
      </c>
      <c r="C9" s="100" t="s">
        <v>6</v>
      </c>
      <c r="D9" s="101"/>
      <c r="E9" s="102"/>
      <c r="F9" s="4">
        <v>160</v>
      </c>
      <c r="G9" s="5">
        <v>1.62</v>
      </c>
      <c r="H9" s="5">
        <f t="shared" ref="H9:H17" si="0">+F9*G9</f>
        <v>259.20000000000005</v>
      </c>
      <c r="I9" s="5">
        <f>F9*G9</f>
        <v>259.20000000000005</v>
      </c>
      <c r="K9" s="24"/>
    </row>
    <row r="10" spans="2:17" ht="15.75" thickBot="1" x14ac:dyDescent="0.3">
      <c r="B10" s="3">
        <v>2</v>
      </c>
      <c r="C10" s="100" t="s">
        <v>7</v>
      </c>
      <c r="D10" s="101"/>
      <c r="E10" s="102"/>
      <c r="F10" s="4">
        <v>220</v>
      </c>
      <c r="G10" s="5">
        <v>2.2000000000000002</v>
      </c>
      <c r="H10" s="5">
        <f t="shared" si="0"/>
        <v>484.00000000000006</v>
      </c>
      <c r="I10" s="5">
        <f t="shared" ref="I10:I17" si="1">F10*G10</f>
        <v>484.00000000000006</v>
      </c>
      <c r="J10" s="113" t="s">
        <v>22</v>
      </c>
      <c r="K10" s="114"/>
      <c r="L10" s="114"/>
      <c r="M10" s="114"/>
      <c r="N10" s="114"/>
      <c r="O10" s="114"/>
      <c r="P10" s="27"/>
      <c r="Q10" s="28"/>
    </row>
    <row r="11" spans="2:17" ht="15.75" thickBot="1" x14ac:dyDescent="0.3">
      <c r="B11" s="3">
        <v>3</v>
      </c>
      <c r="C11" s="100" t="s">
        <v>9</v>
      </c>
      <c r="D11" s="101"/>
      <c r="E11" s="102"/>
      <c r="F11" s="6">
        <v>30</v>
      </c>
      <c r="G11" s="5">
        <v>1.66</v>
      </c>
      <c r="H11" s="5">
        <f t="shared" si="0"/>
        <v>49.8</v>
      </c>
      <c r="I11" s="5">
        <f t="shared" si="1"/>
        <v>49.8</v>
      </c>
      <c r="K11" s="24"/>
    </row>
    <row r="12" spans="2:17" ht="15.75" thickBot="1" x14ac:dyDescent="0.3">
      <c r="B12" s="3">
        <v>4</v>
      </c>
      <c r="C12" s="100" t="s">
        <v>10</v>
      </c>
      <c r="D12" s="101"/>
      <c r="E12" s="102"/>
      <c r="F12" s="6"/>
      <c r="G12" s="5"/>
      <c r="H12" s="5">
        <f t="shared" si="0"/>
        <v>0</v>
      </c>
      <c r="I12" s="5">
        <f t="shared" si="1"/>
        <v>0</v>
      </c>
    </row>
    <row r="13" spans="2:17" ht="15.75" thickBot="1" x14ac:dyDescent="0.3">
      <c r="B13" s="3">
        <v>5</v>
      </c>
      <c r="C13" s="100" t="s">
        <v>11</v>
      </c>
      <c r="D13" s="101"/>
      <c r="E13" s="102"/>
      <c r="F13" s="6">
        <v>3</v>
      </c>
      <c r="G13" s="5">
        <v>3.99</v>
      </c>
      <c r="H13" s="5">
        <f t="shared" si="0"/>
        <v>11.97</v>
      </c>
      <c r="I13" s="5">
        <f t="shared" si="1"/>
        <v>11.97</v>
      </c>
    </row>
    <row r="14" spans="2:17" ht="15.75" thickBot="1" x14ac:dyDescent="0.3">
      <c r="B14" s="3">
        <v>6</v>
      </c>
      <c r="C14" s="100" t="s">
        <v>12</v>
      </c>
      <c r="D14" s="101"/>
      <c r="E14" s="102"/>
      <c r="F14" s="6">
        <v>6</v>
      </c>
      <c r="G14" s="5">
        <v>6.23</v>
      </c>
      <c r="H14" s="5">
        <f>+F14*G14</f>
        <v>37.380000000000003</v>
      </c>
      <c r="I14" s="5">
        <f t="shared" si="1"/>
        <v>37.380000000000003</v>
      </c>
    </row>
    <row r="15" spans="2:17" ht="15.75" thickBot="1" x14ac:dyDescent="0.3">
      <c r="B15" s="3">
        <v>7</v>
      </c>
      <c r="C15" s="100" t="s">
        <v>13</v>
      </c>
      <c r="D15" s="101"/>
      <c r="E15" s="102"/>
      <c r="F15" s="6">
        <v>275</v>
      </c>
      <c r="G15" s="5">
        <v>0.15</v>
      </c>
      <c r="H15" s="5">
        <f>+F15*G15</f>
        <v>41.25</v>
      </c>
      <c r="I15" s="6">
        <f t="shared" si="1"/>
        <v>41.25</v>
      </c>
    </row>
    <row r="16" spans="2:17" ht="15.75" thickBot="1" x14ac:dyDescent="0.3">
      <c r="B16" s="3">
        <v>8</v>
      </c>
      <c r="C16" s="100" t="s">
        <v>14</v>
      </c>
      <c r="D16" s="101"/>
      <c r="E16" s="102"/>
      <c r="F16" s="6">
        <v>275</v>
      </c>
      <c r="G16" s="5">
        <v>0.17</v>
      </c>
      <c r="H16" s="5">
        <f>+F16*G16</f>
        <v>46.75</v>
      </c>
      <c r="I16" s="5">
        <f t="shared" si="1"/>
        <v>46.75</v>
      </c>
    </row>
    <row r="17" spans="2:14" ht="15.75" thickBot="1" x14ac:dyDescent="0.3">
      <c r="B17" s="3">
        <v>9</v>
      </c>
      <c r="C17" s="100" t="s">
        <v>15</v>
      </c>
      <c r="D17" s="101"/>
      <c r="E17" s="102"/>
      <c r="F17" s="6">
        <v>80</v>
      </c>
      <c r="G17" s="5">
        <v>3.56</v>
      </c>
      <c r="H17" s="5">
        <f t="shared" si="0"/>
        <v>284.8</v>
      </c>
      <c r="I17" s="5">
        <f t="shared" si="1"/>
        <v>284.8</v>
      </c>
      <c r="J17" s="111" t="s">
        <v>16</v>
      </c>
      <c r="K17" s="112"/>
      <c r="L17" s="112"/>
      <c r="M17" s="112"/>
      <c r="N17" s="112"/>
    </row>
    <row r="18" spans="2:14" ht="15.75" thickBot="1" x14ac:dyDescent="0.3">
      <c r="B18" s="103" t="s">
        <v>17</v>
      </c>
      <c r="C18" s="104"/>
      <c r="D18" s="104"/>
      <c r="E18" s="105"/>
      <c r="F18" s="7">
        <f>SUM(F9:F17)</f>
        <v>1049</v>
      </c>
      <c r="G18" s="8"/>
      <c r="H18" s="9">
        <f>SUM(H9:H17)</f>
        <v>1215.1500000000001</v>
      </c>
      <c r="I18" s="10">
        <f>SUM(I9:I17)</f>
        <v>1215.1500000000001</v>
      </c>
    </row>
    <row r="19" spans="2:14" ht="15.75" thickBot="1" x14ac:dyDescent="0.3">
      <c r="B19" s="3">
        <v>1</v>
      </c>
      <c r="C19" s="100" t="s">
        <v>18</v>
      </c>
      <c r="D19" s="101"/>
      <c r="E19" s="102"/>
      <c r="F19" s="6">
        <v>40</v>
      </c>
      <c r="G19" s="5">
        <v>2.98</v>
      </c>
      <c r="H19" s="5">
        <f>+F19*G19</f>
        <v>119.2</v>
      </c>
      <c r="I19" s="8"/>
    </row>
    <row r="20" spans="2:14" ht="15.75" thickBot="1" x14ac:dyDescent="0.3">
      <c r="B20" s="11">
        <v>2</v>
      </c>
      <c r="C20" s="100" t="s">
        <v>19</v>
      </c>
      <c r="D20" s="101"/>
      <c r="E20" s="102"/>
      <c r="F20" s="12">
        <v>40</v>
      </c>
      <c r="G20" s="13">
        <v>0.13</v>
      </c>
      <c r="H20" s="13">
        <f>+F20*G20</f>
        <v>5.2</v>
      </c>
      <c r="I20" s="8"/>
    </row>
    <row r="21" spans="2:14" ht="15.75" thickBot="1" x14ac:dyDescent="0.3">
      <c r="B21" s="103" t="s">
        <v>17</v>
      </c>
      <c r="C21" s="104"/>
      <c r="D21" s="104"/>
      <c r="E21" s="105"/>
      <c r="F21" s="8"/>
      <c r="G21" s="8"/>
      <c r="H21" s="14">
        <f>SUM(H19:H20)</f>
        <v>124.4</v>
      </c>
      <c r="I21" s="8"/>
    </row>
    <row r="22" spans="2:14" ht="15.75" thickBot="1" x14ac:dyDescent="0.3">
      <c r="C22" s="97" t="s">
        <v>65</v>
      </c>
      <c r="D22" s="133"/>
      <c r="E22" s="133"/>
      <c r="F22" s="133"/>
      <c r="G22" s="134"/>
      <c r="H22" s="15">
        <f>SUM(H21,H18)</f>
        <v>1339.5500000000002</v>
      </c>
      <c r="I22" s="29">
        <f>I18+I21</f>
        <v>1215.1500000000001</v>
      </c>
    </row>
    <row r="23" spans="2:14" ht="15.75" thickBot="1" x14ac:dyDescent="0.3">
      <c r="C23" s="108" t="s">
        <v>20</v>
      </c>
      <c r="D23" s="109"/>
      <c r="E23" s="109"/>
      <c r="F23" s="109"/>
      <c r="G23" s="110"/>
      <c r="H23" s="5">
        <f>H22*20/100</f>
        <v>267.91000000000003</v>
      </c>
      <c r="I23" s="5">
        <f>I22*20/100</f>
        <v>243.03</v>
      </c>
    </row>
    <row r="24" spans="2:14" ht="15.75" thickBot="1" x14ac:dyDescent="0.3">
      <c r="C24" s="97" t="s">
        <v>21</v>
      </c>
      <c r="D24" s="98"/>
      <c r="E24" s="98"/>
      <c r="F24" s="98"/>
      <c r="G24" s="99"/>
      <c r="H24" s="17">
        <f>SUM(H22:H23)</f>
        <v>1607.4600000000003</v>
      </c>
      <c r="I24" s="17">
        <f>I22+I23</f>
        <v>1458.18</v>
      </c>
    </row>
    <row r="25" spans="2:14" x14ac:dyDescent="0.25">
      <c r="C25" s="131" t="s">
        <v>68</v>
      </c>
      <c r="D25" s="86"/>
      <c r="E25" s="86"/>
      <c r="F25" s="86"/>
      <c r="G25" s="87"/>
      <c r="H25" s="18">
        <f>+H24/1040</f>
        <v>1.5456346153846157</v>
      </c>
      <c r="I25" s="18">
        <f>I24/1014</f>
        <v>1.4380473372781066</v>
      </c>
    </row>
    <row r="26" spans="2:14" x14ac:dyDescent="0.25">
      <c r="C26" s="88"/>
      <c r="D26" s="89"/>
      <c r="E26" s="89"/>
      <c r="F26" s="89"/>
      <c r="G26" s="90"/>
      <c r="H26" s="19"/>
      <c r="I26" s="19"/>
    </row>
    <row r="27" spans="2:14" x14ac:dyDescent="0.25">
      <c r="C27" s="88"/>
      <c r="D27" s="89"/>
      <c r="E27" s="89"/>
      <c r="F27" s="89"/>
      <c r="G27" s="90"/>
      <c r="H27" s="19"/>
      <c r="I27" s="19"/>
    </row>
    <row r="28" spans="2:14" x14ac:dyDescent="0.25">
      <c r="C28" s="132"/>
      <c r="D28" s="94"/>
      <c r="E28" s="94"/>
      <c r="F28" s="94"/>
      <c r="G28" s="95"/>
      <c r="H28" s="19"/>
      <c r="I28" s="19"/>
    </row>
  </sheetData>
  <mergeCells count="28">
    <mergeCell ref="B2:I3"/>
    <mergeCell ref="B7:B8"/>
    <mergeCell ref="C7:E8"/>
    <mergeCell ref="F7:F8"/>
    <mergeCell ref="G7:G8"/>
    <mergeCell ref="H7:H8"/>
    <mergeCell ref="B18:E18"/>
    <mergeCell ref="C9:E9"/>
    <mergeCell ref="C10:E10"/>
    <mergeCell ref="J10:O10"/>
    <mergeCell ref="C11:E11"/>
    <mergeCell ref="C12:E12"/>
    <mergeCell ref="C13:E13"/>
    <mergeCell ref="C14:E14"/>
    <mergeCell ref="C15:E15"/>
    <mergeCell ref="C16:E16"/>
    <mergeCell ref="C17:E17"/>
    <mergeCell ref="J17:N17"/>
    <mergeCell ref="C25:G25"/>
    <mergeCell ref="C26:G26"/>
    <mergeCell ref="C27:G27"/>
    <mergeCell ref="C28:G28"/>
    <mergeCell ref="C19:E19"/>
    <mergeCell ref="C20:E20"/>
    <mergeCell ref="B21:E21"/>
    <mergeCell ref="C22:G22"/>
    <mergeCell ref="C23:G23"/>
    <mergeCell ref="C24:G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8"/>
  <sheetViews>
    <sheetView topLeftCell="A7" workbookViewId="0">
      <selection activeCell="C28" sqref="C28:G28"/>
    </sheetView>
  </sheetViews>
  <sheetFormatPr defaultRowHeight="15" x14ac:dyDescent="0.25"/>
  <cols>
    <col min="2" max="2" width="6" customWidth="1"/>
    <col min="6" max="6" width="9.85546875" bestFit="1" customWidth="1"/>
    <col min="7" max="7" width="17.140625" customWidth="1"/>
    <col min="9" max="9" width="13.28515625" customWidth="1"/>
    <col min="258" max="258" width="6" customWidth="1"/>
    <col min="262" max="262" width="9.85546875" bestFit="1" customWidth="1"/>
    <col min="263" max="263" width="17.140625" customWidth="1"/>
    <col min="265" max="265" width="13.28515625" customWidth="1"/>
    <col min="514" max="514" width="6" customWidth="1"/>
    <col min="518" max="518" width="9.85546875" bestFit="1" customWidth="1"/>
    <col min="519" max="519" width="17.140625" customWidth="1"/>
    <col min="521" max="521" width="13.28515625" customWidth="1"/>
    <col min="770" max="770" width="6" customWidth="1"/>
    <col min="774" max="774" width="9.85546875" bestFit="1" customWidth="1"/>
    <col min="775" max="775" width="17.140625" customWidth="1"/>
    <col min="777" max="777" width="13.28515625" customWidth="1"/>
    <col min="1026" max="1026" width="6" customWidth="1"/>
    <col min="1030" max="1030" width="9.85546875" bestFit="1" customWidth="1"/>
    <col min="1031" max="1031" width="17.140625" customWidth="1"/>
    <col min="1033" max="1033" width="13.28515625" customWidth="1"/>
    <col min="1282" max="1282" width="6" customWidth="1"/>
    <col min="1286" max="1286" width="9.85546875" bestFit="1" customWidth="1"/>
    <col min="1287" max="1287" width="17.140625" customWidth="1"/>
    <col min="1289" max="1289" width="13.28515625" customWidth="1"/>
    <col min="1538" max="1538" width="6" customWidth="1"/>
    <col min="1542" max="1542" width="9.85546875" bestFit="1" customWidth="1"/>
    <col min="1543" max="1543" width="17.140625" customWidth="1"/>
    <col min="1545" max="1545" width="13.28515625" customWidth="1"/>
    <col min="1794" max="1794" width="6" customWidth="1"/>
    <col min="1798" max="1798" width="9.85546875" bestFit="1" customWidth="1"/>
    <col min="1799" max="1799" width="17.140625" customWidth="1"/>
    <col min="1801" max="1801" width="13.28515625" customWidth="1"/>
    <col min="2050" max="2050" width="6" customWidth="1"/>
    <col min="2054" max="2054" width="9.85546875" bestFit="1" customWidth="1"/>
    <col min="2055" max="2055" width="17.140625" customWidth="1"/>
    <col min="2057" max="2057" width="13.28515625" customWidth="1"/>
    <col min="2306" max="2306" width="6" customWidth="1"/>
    <col min="2310" max="2310" width="9.85546875" bestFit="1" customWidth="1"/>
    <col min="2311" max="2311" width="17.140625" customWidth="1"/>
    <col min="2313" max="2313" width="13.28515625" customWidth="1"/>
    <col min="2562" max="2562" width="6" customWidth="1"/>
    <col min="2566" max="2566" width="9.85546875" bestFit="1" customWidth="1"/>
    <col min="2567" max="2567" width="17.140625" customWidth="1"/>
    <col min="2569" max="2569" width="13.28515625" customWidth="1"/>
    <col min="2818" max="2818" width="6" customWidth="1"/>
    <col min="2822" max="2822" width="9.85546875" bestFit="1" customWidth="1"/>
    <col min="2823" max="2823" width="17.140625" customWidth="1"/>
    <col min="2825" max="2825" width="13.28515625" customWidth="1"/>
    <col min="3074" max="3074" width="6" customWidth="1"/>
    <col min="3078" max="3078" width="9.85546875" bestFit="1" customWidth="1"/>
    <col min="3079" max="3079" width="17.140625" customWidth="1"/>
    <col min="3081" max="3081" width="13.28515625" customWidth="1"/>
    <col min="3330" max="3330" width="6" customWidth="1"/>
    <col min="3334" max="3334" width="9.85546875" bestFit="1" customWidth="1"/>
    <col min="3335" max="3335" width="17.140625" customWidth="1"/>
    <col min="3337" max="3337" width="13.28515625" customWidth="1"/>
    <col min="3586" max="3586" width="6" customWidth="1"/>
    <col min="3590" max="3590" width="9.85546875" bestFit="1" customWidth="1"/>
    <col min="3591" max="3591" width="17.140625" customWidth="1"/>
    <col min="3593" max="3593" width="13.28515625" customWidth="1"/>
    <col min="3842" max="3842" width="6" customWidth="1"/>
    <col min="3846" max="3846" width="9.85546875" bestFit="1" customWidth="1"/>
    <col min="3847" max="3847" width="17.140625" customWidth="1"/>
    <col min="3849" max="3849" width="13.28515625" customWidth="1"/>
    <col min="4098" max="4098" width="6" customWidth="1"/>
    <col min="4102" max="4102" width="9.85546875" bestFit="1" customWidth="1"/>
    <col min="4103" max="4103" width="17.140625" customWidth="1"/>
    <col min="4105" max="4105" width="13.28515625" customWidth="1"/>
    <col min="4354" max="4354" width="6" customWidth="1"/>
    <col min="4358" max="4358" width="9.85546875" bestFit="1" customWidth="1"/>
    <col min="4359" max="4359" width="17.140625" customWidth="1"/>
    <col min="4361" max="4361" width="13.28515625" customWidth="1"/>
    <col min="4610" max="4610" width="6" customWidth="1"/>
    <col min="4614" max="4614" width="9.85546875" bestFit="1" customWidth="1"/>
    <col min="4615" max="4615" width="17.140625" customWidth="1"/>
    <col min="4617" max="4617" width="13.28515625" customWidth="1"/>
    <col min="4866" max="4866" width="6" customWidth="1"/>
    <col min="4870" max="4870" width="9.85546875" bestFit="1" customWidth="1"/>
    <col min="4871" max="4871" width="17.140625" customWidth="1"/>
    <col min="4873" max="4873" width="13.28515625" customWidth="1"/>
    <col min="5122" max="5122" width="6" customWidth="1"/>
    <col min="5126" max="5126" width="9.85546875" bestFit="1" customWidth="1"/>
    <col min="5127" max="5127" width="17.140625" customWidth="1"/>
    <col min="5129" max="5129" width="13.28515625" customWidth="1"/>
    <col min="5378" max="5378" width="6" customWidth="1"/>
    <col min="5382" max="5382" width="9.85546875" bestFit="1" customWidth="1"/>
    <col min="5383" max="5383" width="17.140625" customWidth="1"/>
    <col min="5385" max="5385" width="13.28515625" customWidth="1"/>
    <col min="5634" max="5634" width="6" customWidth="1"/>
    <col min="5638" max="5638" width="9.85546875" bestFit="1" customWidth="1"/>
    <col min="5639" max="5639" width="17.140625" customWidth="1"/>
    <col min="5641" max="5641" width="13.28515625" customWidth="1"/>
    <col min="5890" max="5890" width="6" customWidth="1"/>
    <col min="5894" max="5894" width="9.85546875" bestFit="1" customWidth="1"/>
    <col min="5895" max="5895" width="17.140625" customWidth="1"/>
    <col min="5897" max="5897" width="13.28515625" customWidth="1"/>
    <col min="6146" max="6146" width="6" customWidth="1"/>
    <col min="6150" max="6150" width="9.85546875" bestFit="1" customWidth="1"/>
    <col min="6151" max="6151" width="17.140625" customWidth="1"/>
    <col min="6153" max="6153" width="13.28515625" customWidth="1"/>
    <col min="6402" max="6402" width="6" customWidth="1"/>
    <col min="6406" max="6406" width="9.85546875" bestFit="1" customWidth="1"/>
    <col min="6407" max="6407" width="17.140625" customWidth="1"/>
    <col min="6409" max="6409" width="13.28515625" customWidth="1"/>
    <col min="6658" max="6658" width="6" customWidth="1"/>
    <col min="6662" max="6662" width="9.85546875" bestFit="1" customWidth="1"/>
    <col min="6663" max="6663" width="17.140625" customWidth="1"/>
    <col min="6665" max="6665" width="13.28515625" customWidth="1"/>
    <col min="6914" max="6914" width="6" customWidth="1"/>
    <col min="6918" max="6918" width="9.85546875" bestFit="1" customWidth="1"/>
    <col min="6919" max="6919" width="17.140625" customWidth="1"/>
    <col min="6921" max="6921" width="13.28515625" customWidth="1"/>
    <col min="7170" max="7170" width="6" customWidth="1"/>
    <col min="7174" max="7174" width="9.85546875" bestFit="1" customWidth="1"/>
    <col min="7175" max="7175" width="17.140625" customWidth="1"/>
    <col min="7177" max="7177" width="13.28515625" customWidth="1"/>
    <col min="7426" max="7426" width="6" customWidth="1"/>
    <col min="7430" max="7430" width="9.85546875" bestFit="1" customWidth="1"/>
    <col min="7431" max="7431" width="17.140625" customWidth="1"/>
    <col min="7433" max="7433" width="13.28515625" customWidth="1"/>
    <col min="7682" max="7682" width="6" customWidth="1"/>
    <col min="7686" max="7686" width="9.85546875" bestFit="1" customWidth="1"/>
    <col min="7687" max="7687" width="17.140625" customWidth="1"/>
    <col min="7689" max="7689" width="13.28515625" customWidth="1"/>
    <col min="7938" max="7938" width="6" customWidth="1"/>
    <col min="7942" max="7942" width="9.85546875" bestFit="1" customWidth="1"/>
    <col min="7943" max="7943" width="17.140625" customWidth="1"/>
    <col min="7945" max="7945" width="13.28515625" customWidth="1"/>
    <col min="8194" max="8194" width="6" customWidth="1"/>
    <col min="8198" max="8198" width="9.85546875" bestFit="1" customWidth="1"/>
    <col min="8199" max="8199" width="17.140625" customWidth="1"/>
    <col min="8201" max="8201" width="13.28515625" customWidth="1"/>
    <col min="8450" max="8450" width="6" customWidth="1"/>
    <col min="8454" max="8454" width="9.85546875" bestFit="1" customWidth="1"/>
    <col min="8455" max="8455" width="17.140625" customWidth="1"/>
    <col min="8457" max="8457" width="13.28515625" customWidth="1"/>
    <col min="8706" max="8706" width="6" customWidth="1"/>
    <col min="8710" max="8710" width="9.85546875" bestFit="1" customWidth="1"/>
    <col min="8711" max="8711" width="17.140625" customWidth="1"/>
    <col min="8713" max="8713" width="13.28515625" customWidth="1"/>
    <col min="8962" max="8962" width="6" customWidth="1"/>
    <col min="8966" max="8966" width="9.85546875" bestFit="1" customWidth="1"/>
    <col min="8967" max="8967" width="17.140625" customWidth="1"/>
    <col min="8969" max="8969" width="13.28515625" customWidth="1"/>
    <col min="9218" max="9218" width="6" customWidth="1"/>
    <col min="9222" max="9222" width="9.85546875" bestFit="1" customWidth="1"/>
    <col min="9223" max="9223" width="17.140625" customWidth="1"/>
    <col min="9225" max="9225" width="13.28515625" customWidth="1"/>
    <col min="9474" max="9474" width="6" customWidth="1"/>
    <col min="9478" max="9478" width="9.85546875" bestFit="1" customWidth="1"/>
    <col min="9479" max="9479" width="17.140625" customWidth="1"/>
    <col min="9481" max="9481" width="13.28515625" customWidth="1"/>
    <col min="9730" max="9730" width="6" customWidth="1"/>
    <col min="9734" max="9734" width="9.85546875" bestFit="1" customWidth="1"/>
    <col min="9735" max="9735" width="17.140625" customWidth="1"/>
    <col min="9737" max="9737" width="13.28515625" customWidth="1"/>
    <col min="9986" max="9986" width="6" customWidth="1"/>
    <col min="9990" max="9990" width="9.85546875" bestFit="1" customWidth="1"/>
    <col min="9991" max="9991" width="17.140625" customWidth="1"/>
    <col min="9993" max="9993" width="13.28515625" customWidth="1"/>
    <col min="10242" max="10242" width="6" customWidth="1"/>
    <col min="10246" max="10246" width="9.85546875" bestFit="1" customWidth="1"/>
    <col min="10247" max="10247" width="17.140625" customWidth="1"/>
    <col min="10249" max="10249" width="13.28515625" customWidth="1"/>
    <col min="10498" max="10498" width="6" customWidth="1"/>
    <col min="10502" max="10502" width="9.85546875" bestFit="1" customWidth="1"/>
    <col min="10503" max="10503" width="17.140625" customWidth="1"/>
    <col min="10505" max="10505" width="13.28515625" customWidth="1"/>
    <col min="10754" max="10754" width="6" customWidth="1"/>
    <col min="10758" max="10758" width="9.85546875" bestFit="1" customWidth="1"/>
    <col min="10759" max="10759" width="17.140625" customWidth="1"/>
    <col min="10761" max="10761" width="13.28515625" customWidth="1"/>
    <col min="11010" max="11010" width="6" customWidth="1"/>
    <col min="11014" max="11014" width="9.85546875" bestFit="1" customWidth="1"/>
    <col min="11015" max="11015" width="17.140625" customWidth="1"/>
    <col min="11017" max="11017" width="13.28515625" customWidth="1"/>
    <col min="11266" max="11266" width="6" customWidth="1"/>
    <col min="11270" max="11270" width="9.85546875" bestFit="1" customWidth="1"/>
    <col min="11271" max="11271" width="17.140625" customWidth="1"/>
    <col min="11273" max="11273" width="13.28515625" customWidth="1"/>
    <col min="11522" max="11522" width="6" customWidth="1"/>
    <col min="11526" max="11526" width="9.85546875" bestFit="1" customWidth="1"/>
    <col min="11527" max="11527" width="17.140625" customWidth="1"/>
    <col min="11529" max="11529" width="13.28515625" customWidth="1"/>
    <col min="11778" max="11778" width="6" customWidth="1"/>
    <col min="11782" max="11782" width="9.85546875" bestFit="1" customWidth="1"/>
    <col min="11783" max="11783" width="17.140625" customWidth="1"/>
    <col min="11785" max="11785" width="13.28515625" customWidth="1"/>
    <col min="12034" max="12034" width="6" customWidth="1"/>
    <col min="12038" max="12038" width="9.85546875" bestFit="1" customWidth="1"/>
    <col min="12039" max="12039" width="17.140625" customWidth="1"/>
    <col min="12041" max="12041" width="13.28515625" customWidth="1"/>
    <col min="12290" max="12290" width="6" customWidth="1"/>
    <col min="12294" max="12294" width="9.85546875" bestFit="1" customWidth="1"/>
    <col min="12295" max="12295" width="17.140625" customWidth="1"/>
    <col min="12297" max="12297" width="13.28515625" customWidth="1"/>
    <col min="12546" max="12546" width="6" customWidth="1"/>
    <col min="12550" max="12550" width="9.85546875" bestFit="1" customWidth="1"/>
    <col min="12551" max="12551" width="17.140625" customWidth="1"/>
    <col min="12553" max="12553" width="13.28515625" customWidth="1"/>
    <col min="12802" max="12802" width="6" customWidth="1"/>
    <col min="12806" max="12806" width="9.85546875" bestFit="1" customWidth="1"/>
    <col min="12807" max="12807" width="17.140625" customWidth="1"/>
    <col min="12809" max="12809" width="13.28515625" customWidth="1"/>
    <col min="13058" max="13058" width="6" customWidth="1"/>
    <col min="13062" max="13062" width="9.85546875" bestFit="1" customWidth="1"/>
    <col min="13063" max="13063" width="17.140625" customWidth="1"/>
    <col min="13065" max="13065" width="13.28515625" customWidth="1"/>
    <col min="13314" max="13314" width="6" customWidth="1"/>
    <col min="13318" max="13318" width="9.85546875" bestFit="1" customWidth="1"/>
    <col min="13319" max="13319" width="17.140625" customWidth="1"/>
    <col min="13321" max="13321" width="13.28515625" customWidth="1"/>
    <col min="13570" max="13570" width="6" customWidth="1"/>
    <col min="13574" max="13574" width="9.85546875" bestFit="1" customWidth="1"/>
    <col min="13575" max="13575" width="17.140625" customWidth="1"/>
    <col min="13577" max="13577" width="13.28515625" customWidth="1"/>
    <col min="13826" max="13826" width="6" customWidth="1"/>
    <col min="13830" max="13830" width="9.85546875" bestFit="1" customWidth="1"/>
    <col min="13831" max="13831" width="17.140625" customWidth="1"/>
    <col min="13833" max="13833" width="13.28515625" customWidth="1"/>
    <col min="14082" max="14082" width="6" customWidth="1"/>
    <col min="14086" max="14086" width="9.85546875" bestFit="1" customWidth="1"/>
    <col min="14087" max="14087" width="17.140625" customWidth="1"/>
    <col min="14089" max="14089" width="13.28515625" customWidth="1"/>
    <col min="14338" max="14338" width="6" customWidth="1"/>
    <col min="14342" max="14342" width="9.85546875" bestFit="1" customWidth="1"/>
    <col min="14343" max="14343" width="17.140625" customWidth="1"/>
    <col min="14345" max="14345" width="13.28515625" customWidth="1"/>
    <col min="14594" max="14594" width="6" customWidth="1"/>
    <col min="14598" max="14598" width="9.85546875" bestFit="1" customWidth="1"/>
    <col min="14599" max="14599" width="17.140625" customWidth="1"/>
    <col min="14601" max="14601" width="13.28515625" customWidth="1"/>
    <col min="14850" max="14850" width="6" customWidth="1"/>
    <col min="14854" max="14854" width="9.85546875" bestFit="1" customWidth="1"/>
    <col min="14855" max="14855" width="17.140625" customWidth="1"/>
    <col min="14857" max="14857" width="13.28515625" customWidth="1"/>
    <col min="15106" max="15106" width="6" customWidth="1"/>
    <col min="15110" max="15110" width="9.85546875" bestFit="1" customWidth="1"/>
    <col min="15111" max="15111" width="17.140625" customWidth="1"/>
    <col min="15113" max="15113" width="13.28515625" customWidth="1"/>
    <col min="15362" max="15362" width="6" customWidth="1"/>
    <col min="15366" max="15366" width="9.85546875" bestFit="1" customWidth="1"/>
    <col min="15367" max="15367" width="17.140625" customWidth="1"/>
    <col min="15369" max="15369" width="13.28515625" customWidth="1"/>
    <col min="15618" max="15618" width="6" customWidth="1"/>
    <col min="15622" max="15622" width="9.85546875" bestFit="1" customWidth="1"/>
    <col min="15623" max="15623" width="17.140625" customWidth="1"/>
    <col min="15625" max="15625" width="13.28515625" customWidth="1"/>
    <col min="15874" max="15874" width="6" customWidth="1"/>
    <col min="15878" max="15878" width="9.85546875" bestFit="1" customWidth="1"/>
    <col min="15879" max="15879" width="17.140625" customWidth="1"/>
    <col min="15881" max="15881" width="13.28515625" customWidth="1"/>
    <col min="16130" max="16130" width="6" customWidth="1"/>
    <col min="16134" max="16134" width="9.85546875" bestFit="1" customWidth="1"/>
    <col min="16135" max="16135" width="17.140625" customWidth="1"/>
    <col min="16137" max="16137" width="13.28515625" customWidth="1"/>
  </cols>
  <sheetData>
    <row r="1" spans="2:15" ht="15.75" thickBot="1" x14ac:dyDescent="0.3"/>
    <row r="2" spans="2:15" x14ac:dyDescent="0.25">
      <c r="B2" s="115" t="s">
        <v>23</v>
      </c>
      <c r="C2" s="116"/>
      <c r="D2" s="116"/>
      <c r="E2" s="116"/>
      <c r="F2" s="116"/>
      <c r="G2" s="116"/>
      <c r="H2" s="116"/>
      <c r="I2" s="117"/>
    </row>
    <row r="3" spans="2:15" ht="15.75" thickBot="1" x14ac:dyDescent="0.3">
      <c r="B3" s="118"/>
      <c r="C3" s="119"/>
      <c r="D3" s="119"/>
      <c r="E3" s="119"/>
      <c r="F3" s="119"/>
      <c r="G3" s="119"/>
      <c r="H3" s="119"/>
      <c r="I3" s="120"/>
    </row>
    <row r="6" spans="2:15" ht="15.75" thickBot="1" x14ac:dyDescent="0.3"/>
    <row r="7" spans="2:15" x14ac:dyDescent="0.25">
      <c r="B7" s="121" t="s">
        <v>0</v>
      </c>
      <c r="C7" s="123" t="s">
        <v>1</v>
      </c>
      <c r="D7" s="124"/>
      <c r="E7" s="125"/>
      <c r="F7" s="121" t="s">
        <v>2</v>
      </c>
      <c r="G7" s="129" t="s">
        <v>3</v>
      </c>
      <c r="H7" s="129" t="s">
        <v>4</v>
      </c>
      <c r="I7" s="1"/>
    </row>
    <row r="8" spans="2:15" ht="31.5" customHeight="1" thickBot="1" x14ac:dyDescent="0.3">
      <c r="B8" s="122"/>
      <c r="C8" s="126"/>
      <c r="D8" s="127"/>
      <c r="E8" s="128"/>
      <c r="F8" s="122"/>
      <c r="G8" s="130"/>
      <c r="H8" s="130"/>
      <c r="I8" s="26" t="s">
        <v>5</v>
      </c>
    </row>
    <row r="9" spans="2:15" ht="15.75" thickBot="1" x14ac:dyDescent="0.3">
      <c r="B9" s="3">
        <v>1</v>
      </c>
      <c r="C9" s="100" t="s">
        <v>6</v>
      </c>
      <c r="D9" s="101"/>
      <c r="E9" s="102"/>
      <c r="F9" s="4">
        <v>160</v>
      </c>
      <c r="G9" s="5">
        <v>1.62</v>
      </c>
      <c r="H9" s="5">
        <f t="shared" ref="H9:H17" si="0">+F9*G9</f>
        <v>259.20000000000005</v>
      </c>
      <c r="I9" s="5">
        <f>F9*G9</f>
        <v>259.20000000000005</v>
      </c>
    </row>
    <row r="10" spans="2:15" ht="15.75" thickBot="1" x14ac:dyDescent="0.3">
      <c r="B10" s="3">
        <v>2</v>
      </c>
      <c r="C10" s="100" t="s">
        <v>7</v>
      </c>
      <c r="D10" s="101"/>
      <c r="E10" s="102"/>
      <c r="F10" s="4">
        <v>235</v>
      </c>
      <c r="G10" s="5">
        <v>2.2000000000000002</v>
      </c>
      <c r="H10" s="5">
        <f t="shared" si="0"/>
        <v>517</v>
      </c>
      <c r="I10" s="5">
        <f t="shared" ref="I10:I17" si="1">F10*G10</f>
        <v>517</v>
      </c>
      <c r="J10" s="113" t="s">
        <v>22</v>
      </c>
      <c r="K10" s="114"/>
      <c r="L10" s="114"/>
      <c r="M10" s="114"/>
      <c r="N10" s="114"/>
      <c r="O10" s="114"/>
    </row>
    <row r="11" spans="2:15" ht="15.75" thickBot="1" x14ac:dyDescent="0.3">
      <c r="B11" s="3">
        <v>3</v>
      </c>
      <c r="C11" s="100" t="s">
        <v>9</v>
      </c>
      <c r="D11" s="101"/>
      <c r="E11" s="102"/>
      <c r="F11" s="6">
        <v>30</v>
      </c>
      <c r="G11" s="5">
        <v>1.66</v>
      </c>
      <c r="H11" s="5">
        <f t="shared" si="0"/>
        <v>49.8</v>
      </c>
      <c r="I11" s="5">
        <f t="shared" si="1"/>
        <v>49.8</v>
      </c>
    </row>
    <row r="12" spans="2:15" ht="15.75" thickBot="1" x14ac:dyDescent="0.3">
      <c r="B12" s="3">
        <v>4</v>
      </c>
      <c r="C12" s="100" t="s">
        <v>10</v>
      </c>
      <c r="D12" s="101"/>
      <c r="E12" s="102"/>
      <c r="F12" s="6"/>
      <c r="G12" s="6"/>
      <c r="H12" s="5">
        <f t="shared" si="0"/>
        <v>0</v>
      </c>
      <c r="I12" s="5">
        <f t="shared" si="1"/>
        <v>0</v>
      </c>
    </row>
    <row r="13" spans="2:15" ht="15.75" thickBot="1" x14ac:dyDescent="0.3">
      <c r="B13" s="3">
        <v>5</v>
      </c>
      <c r="C13" s="100" t="s">
        <v>11</v>
      </c>
      <c r="D13" s="101"/>
      <c r="E13" s="102"/>
      <c r="F13" s="6">
        <v>3</v>
      </c>
      <c r="G13" s="5">
        <v>3.99</v>
      </c>
      <c r="H13" s="5">
        <f t="shared" si="0"/>
        <v>11.97</v>
      </c>
      <c r="I13" s="5">
        <f t="shared" si="1"/>
        <v>11.97</v>
      </c>
    </row>
    <row r="14" spans="2:15" ht="15.75" thickBot="1" x14ac:dyDescent="0.3">
      <c r="B14" s="3">
        <v>6</v>
      </c>
      <c r="C14" s="100" t="s">
        <v>12</v>
      </c>
      <c r="D14" s="101"/>
      <c r="E14" s="102"/>
      <c r="F14" s="6">
        <v>6</v>
      </c>
      <c r="G14" s="5">
        <v>6.23</v>
      </c>
      <c r="H14" s="5">
        <f>+F14*G14</f>
        <v>37.380000000000003</v>
      </c>
      <c r="I14" s="5">
        <f t="shared" si="1"/>
        <v>37.380000000000003</v>
      </c>
    </row>
    <row r="15" spans="2:15" ht="15.75" thickBot="1" x14ac:dyDescent="0.3">
      <c r="B15" s="3">
        <v>7</v>
      </c>
      <c r="C15" s="100" t="s">
        <v>13</v>
      </c>
      <c r="D15" s="101"/>
      <c r="E15" s="102"/>
      <c r="F15" s="6">
        <v>275</v>
      </c>
      <c r="G15" s="5">
        <v>0.15</v>
      </c>
      <c r="H15" s="5">
        <f>+F15*G15</f>
        <v>41.25</v>
      </c>
      <c r="I15" s="6">
        <f t="shared" si="1"/>
        <v>41.25</v>
      </c>
    </row>
    <row r="16" spans="2:15" ht="15.75" thickBot="1" x14ac:dyDescent="0.3">
      <c r="B16" s="3">
        <v>8</v>
      </c>
      <c r="C16" s="100" t="s">
        <v>14</v>
      </c>
      <c r="D16" s="101"/>
      <c r="E16" s="102"/>
      <c r="F16" s="6">
        <v>275</v>
      </c>
      <c r="G16" s="5">
        <v>0.17</v>
      </c>
      <c r="H16" s="5">
        <f>+F16*G16</f>
        <v>46.75</v>
      </c>
      <c r="I16" s="5">
        <f t="shared" si="1"/>
        <v>46.75</v>
      </c>
    </row>
    <row r="17" spans="2:14" ht="15.75" thickBot="1" x14ac:dyDescent="0.3">
      <c r="B17" s="3">
        <v>9</v>
      </c>
      <c r="C17" s="100" t="s">
        <v>15</v>
      </c>
      <c r="D17" s="101"/>
      <c r="E17" s="102"/>
      <c r="F17" s="6">
        <v>80</v>
      </c>
      <c r="G17" s="5">
        <v>3.56</v>
      </c>
      <c r="H17" s="5">
        <f t="shared" si="0"/>
        <v>284.8</v>
      </c>
      <c r="I17" s="5">
        <f t="shared" si="1"/>
        <v>284.8</v>
      </c>
      <c r="J17" s="111" t="s">
        <v>16</v>
      </c>
      <c r="K17" s="112"/>
      <c r="L17" s="112"/>
      <c r="M17" s="112"/>
      <c r="N17" s="112"/>
    </row>
    <row r="18" spans="2:14" ht="15.75" thickBot="1" x14ac:dyDescent="0.3">
      <c r="B18" s="103" t="s">
        <v>17</v>
      </c>
      <c r="C18" s="104"/>
      <c r="D18" s="104"/>
      <c r="E18" s="105"/>
      <c r="F18" s="7">
        <f>SUM(F9:F17)</f>
        <v>1064</v>
      </c>
      <c r="G18" s="8"/>
      <c r="H18" s="9">
        <f>SUM(H9:H17)</f>
        <v>1248.1500000000001</v>
      </c>
      <c r="I18" s="10">
        <f>SUM(I9:I17)</f>
        <v>1248.1500000000001</v>
      </c>
    </row>
    <row r="19" spans="2:14" ht="15.75" thickBot="1" x14ac:dyDescent="0.3">
      <c r="B19" s="3">
        <v>1</v>
      </c>
      <c r="C19" s="100" t="s">
        <v>18</v>
      </c>
      <c r="D19" s="101"/>
      <c r="E19" s="102"/>
      <c r="F19" s="6">
        <v>40</v>
      </c>
      <c r="G19" s="5">
        <v>2.98</v>
      </c>
      <c r="H19" s="5">
        <f>+F19*G19</f>
        <v>119.2</v>
      </c>
      <c r="I19" s="8"/>
    </row>
    <row r="20" spans="2:14" ht="15.75" thickBot="1" x14ac:dyDescent="0.3">
      <c r="B20" s="11">
        <v>2</v>
      </c>
      <c r="C20" s="100" t="s">
        <v>19</v>
      </c>
      <c r="D20" s="101"/>
      <c r="E20" s="102"/>
      <c r="F20" s="12">
        <v>40</v>
      </c>
      <c r="G20" s="13">
        <v>0.13</v>
      </c>
      <c r="H20" s="12">
        <f>+F20*G20</f>
        <v>5.2</v>
      </c>
      <c r="I20" s="8"/>
    </row>
    <row r="21" spans="2:14" ht="15.75" thickBot="1" x14ac:dyDescent="0.3">
      <c r="B21" s="103" t="s">
        <v>17</v>
      </c>
      <c r="C21" s="104"/>
      <c r="D21" s="104"/>
      <c r="E21" s="105"/>
      <c r="F21" s="8"/>
      <c r="G21" s="8"/>
      <c r="H21" s="14">
        <f>SUM(H19:H20)</f>
        <v>124.4</v>
      </c>
      <c r="I21" s="8"/>
    </row>
    <row r="22" spans="2:14" ht="15.75" thickBot="1" x14ac:dyDescent="0.3">
      <c r="C22" s="97" t="s">
        <v>65</v>
      </c>
      <c r="D22" s="133"/>
      <c r="E22" s="133"/>
      <c r="F22" s="133"/>
      <c r="G22" s="134"/>
      <c r="H22" s="15">
        <f>SUM(H21,H18)</f>
        <v>1372.5500000000002</v>
      </c>
      <c r="I22" s="29">
        <f>I18+I21</f>
        <v>1248.1500000000001</v>
      </c>
    </row>
    <row r="23" spans="2:14" ht="15.75" thickBot="1" x14ac:dyDescent="0.3">
      <c r="C23" s="108" t="s">
        <v>20</v>
      </c>
      <c r="D23" s="109"/>
      <c r="E23" s="109"/>
      <c r="F23" s="109"/>
      <c r="G23" s="110"/>
      <c r="H23" s="5">
        <f>H22*0.2</f>
        <v>274.51000000000005</v>
      </c>
      <c r="I23" s="5">
        <f>I22*20/100</f>
        <v>249.63</v>
      </c>
    </row>
    <row r="24" spans="2:14" ht="15.75" thickBot="1" x14ac:dyDescent="0.3">
      <c r="C24" s="97" t="s">
        <v>21</v>
      </c>
      <c r="D24" s="98"/>
      <c r="E24" s="98"/>
      <c r="F24" s="98"/>
      <c r="G24" s="99"/>
      <c r="H24" s="16">
        <f>SUM(H22:H23)</f>
        <v>1647.0600000000002</v>
      </c>
      <c r="I24" s="17">
        <f>I22+I23</f>
        <v>1497.7800000000002</v>
      </c>
    </row>
    <row r="25" spans="2:14" x14ac:dyDescent="0.25">
      <c r="C25" s="131" t="s">
        <v>69</v>
      </c>
      <c r="D25" s="86"/>
      <c r="E25" s="86"/>
      <c r="F25" s="86"/>
      <c r="G25" s="87"/>
      <c r="H25" s="18">
        <f>+H24/1050</f>
        <v>1.5686285714285715</v>
      </c>
      <c r="I25" s="18">
        <f>I24/1040</f>
        <v>1.4401730769230772</v>
      </c>
    </row>
    <row r="26" spans="2:14" x14ac:dyDescent="0.25">
      <c r="C26" s="88"/>
      <c r="D26" s="89"/>
      <c r="E26" s="89"/>
      <c r="F26" s="89"/>
      <c r="G26" s="90"/>
      <c r="H26" s="19"/>
      <c r="I26" s="19"/>
    </row>
    <row r="27" spans="2:14" x14ac:dyDescent="0.25">
      <c r="C27" s="88"/>
      <c r="D27" s="89"/>
      <c r="E27" s="89"/>
      <c r="F27" s="89"/>
      <c r="G27" s="90"/>
      <c r="H27" s="19"/>
      <c r="I27" s="19"/>
    </row>
    <row r="28" spans="2:14" x14ac:dyDescent="0.25">
      <c r="C28" s="132"/>
      <c r="D28" s="94"/>
      <c r="E28" s="94"/>
      <c r="F28" s="94"/>
      <c r="G28" s="95"/>
      <c r="H28" s="19"/>
      <c r="I28" s="19"/>
    </row>
  </sheetData>
  <mergeCells count="28">
    <mergeCell ref="B2:I3"/>
    <mergeCell ref="B7:B8"/>
    <mergeCell ref="C7:E8"/>
    <mergeCell ref="F7:F8"/>
    <mergeCell ref="G7:G8"/>
    <mergeCell ref="H7:H8"/>
    <mergeCell ref="B18:E18"/>
    <mergeCell ref="C9:E9"/>
    <mergeCell ref="C10:E10"/>
    <mergeCell ref="J10:O10"/>
    <mergeCell ref="C11:E11"/>
    <mergeCell ref="C12:E12"/>
    <mergeCell ref="C13:E13"/>
    <mergeCell ref="C14:E14"/>
    <mergeCell ref="C15:E15"/>
    <mergeCell ref="C16:E16"/>
    <mergeCell ref="C17:E17"/>
    <mergeCell ref="J17:N17"/>
    <mergeCell ref="C25:G25"/>
    <mergeCell ref="C26:G26"/>
    <mergeCell ref="C27:G27"/>
    <mergeCell ref="C28:G28"/>
    <mergeCell ref="C19:E19"/>
    <mergeCell ref="C20:E20"/>
    <mergeCell ref="B21:E21"/>
    <mergeCell ref="C22:G22"/>
    <mergeCell ref="C23:G23"/>
    <mergeCell ref="C24:G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26"/>
  <sheetViews>
    <sheetView topLeftCell="A7" workbookViewId="0">
      <selection activeCell="H22" sqref="H22"/>
    </sheetView>
  </sheetViews>
  <sheetFormatPr defaultRowHeight="15" x14ac:dyDescent="0.25"/>
  <cols>
    <col min="1" max="1" width="4.85546875" customWidth="1"/>
    <col min="2" max="2" width="3.7109375" customWidth="1"/>
    <col min="6" max="6" width="9.85546875" bestFit="1" customWidth="1"/>
    <col min="7" max="7" width="31.85546875" customWidth="1"/>
    <col min="8" max="8" width="11" customWidth="1"/>
    <col min="9" max="9" width="13.140625" customWidth="1"/>
    <col min="10" max="10" width="10" bestFit="1" customWidth="1"/>
    <col min="13" max="13" width="13.5703125" customWidth="1"/>
    <col min="14" max="14" width="0.140625" hidden="1" customWidth="1"/>
    <col min="15" max="18" width="9.140625" hidden="1" customWidth="1"/>
    <col min="257" max="257" width="4.85546875" customWidth="1"/>
    <col min="258" max="258" width="3.7109375" customWidth="1"/>
    <col min="262" max="262" width="9.85546875" bestFit="1" customWidth="1"/>
    <col min="263" max="263" width="31.85546875" customWidth="1"/>
    <col min="264" max="264" width="11" customWidth="1"/>
    <col min="265" max="265" width="13.140625" customWidth="1"/>
    <col min="266" max="266" width="10" bestFit="1" customWidth="1"/>
    <col min="269" max="269" width="13.5703125" customWidth="1"/>
    <col min="270" max="274" width="0" hidden="1" customWidth="1"/>
    <col min="513" max="513" width="4.85546875" customWidth="1"/>
    <col min="514" max="514" width="3.7109375" customWidth="1"/>
    <col min="518" max="518" width="9.85546875" bestFit="1" customWidth="1"/>
    <col min="519" max="519" width="31.85546875" customWidth="1"/>
    <col min="520" max="520" width="11" customWidth="1"/>
    <col min="521" max="521" width="13.140625" customWidth="1"/>
    <col min="522" max="522" width="10" bestFit="1" customWidth="1"/>
    <col min="525" max="525" width="13.5703125" customWidth="1"/>
    <col min="526" max="530" width="0" hidden="1" customWidth="1"/>
    <col min="769" max="769" width="4.85546875" customWidth="1"/>
    <col min="770" max="770" width="3.7109375" customWidth="1"/>
    <col min="774" max="774" width="9.85546875" bestFit="1" customWidth="1"/>
    <col min="775" max="775" width="31.85546875" customWidth="1"/>
    <col min="776" max="776" width="11" customWidth="1"/>
    <col min="777" max="777" width="13.140625" customWidth="1"/>
    <col min="778" max="778" width="10" bestFit="1" customWidth="1"/>
    <col min="781" max="781" width="13.5703125" customWidth="1"/>
    <col min="782" max="786" width="0" hidden="1" customWidth="1"/>
    <col min="1025" max="1025" width="4.85546875" customWidth="1"/>
    <col min="1026" max="1026" width="3.7109375" customWidth="1"/>
    <col min="1030" max="1030" width="9.85546875" bestFit="1" customWidth="1"/>
    <col min="1031" max="1031" width="31.85546875" customWidth="1"/>
    <col min="1032" max="1032" width="11" customWidth="1"/>
    <col min="1033" max="1033" width="13.140625" customWidth="1"/>
    <col min="1034" max="1034" width="10" bestFit="1" customWidth="1"/>
    <col min="1037" max="1037" width="13.5703125" customWidth="1"/>
    <col min="1038" max="1042" width="0" hidden="1" customWidth="1"/>
    <col min="1281" max="1281" width="4.85546875" customWidth="1"/>
    <col min="1282" max="1282" width="3.7109375" customWidth="1"/>
    <col min="1286" max="1286" width="9.85546875" bestFit="1" customWidth="1"/>
    <col min="1287" max="1287" width="31.85546875" customWidth="1"/>
    <col min="1288" max="1288" width="11" customWidth="1"/>
    <col min="1289" max="1289" width="13.140625" customWidth="1"/>
    <col min="1290" max="1290" width="10" bestFit="1" customWidth="1"/>
    <col min="1293" max="1293" width="13.5703125" customWidth="1"/>
    <col min="1294" max="1298" width="0" hidden="1" customWidth="1"/>
    <col min="1537" max="1537" width="4.85546875" customWidth="1"/>
    <col min="1538" max="1538" width="3.7109375" customWidth="1"/>
    <col min="1542" max="1542" width="9.85546875" bestFit="1" customWidth="1"/>
    <col min="1543" max="1543" width="31.85546875" customWidth="1"/>
    <col min="1544" max="1544" width="11" customWidth="1"/>
    <col min="1545" max="1545" width="13.140625" customWidth="1"/>
    <col min="1546" max="1546" width="10" bestFit="1" customWidth="1"/>
    <col min="1549" max="1549" width="13.5703125" customWidth="1"/>
    <col min="1550" max="1554" width="0" hidden="1" customWidth="1"/>
    <col min="1793" max="1793" width="4.85546875" customWidth="1"/>
    <col min="1794" max="1794" width="3.7109375" customWidth="1"/>
    <col min="1798" max="1798" width="9.85546875" bestFit="1" customWidth="1"/>
    <col min="1799" max="1799" width="31.85546875" customWidth="1"/>
    <col min="1800" max="1800" width="11" customWidth="1"/>
    <col min="1801" max="1801" width="13.140625" customWidth="1"/>
    <col min="1802" max="1802" width="10" bestFit="1" customWidth="1"/>
    <col min="1805" max="1805" width="13.5703125" customWidth="1"/>
    <col min="1806" max="1810" width="0" hidden="1" customWidth="1"/>
    <col min="2049" max="2049" width="4.85546875" customWidth="1"/>
    <col min="2050" max="2050" width="3.7109375" customWidth="1"/>
    <col min="2054" max="2054" width="9.85546875" bestFit="1" customWidth="1"/>
    <col min="2055" max="2055" width="31.85546875" customWidth="1"/>
    <col min="2056" max="2056" width="11" customWidth="1"/>
    <col min="2057" max="2057" width="13.140625" customWidth="1"/>
    <col min="2058" max="2058" width="10" bestFit="1" customWidth="1"/>
    <col min="2061" max="2061" width="13.5703125" customWidth="1"/>
    <col min="2062" max="2066" width="0" hidden="1" customWidth="1"/>
    <col min="2305" max="2305" width="4.85546875" customWidth="1"/>
    <col min="2306" max="2306" width="3.7109375" customWidth="1"/>
    <col min="2310" max="2310" width="9.85546875" bestFit="1" customWidth="1"/>
    <col min="2311" max="2311" width="31.85546875" customWidth="1"/>
    <col min="2312" max="2312" width="11" customWidth="1"/>
    <col min="2313" max="2313" width="13.140625" customWidth="1"/>
    <col min="2314" max="2314" width="10" bestFit="1" customWidth="1"/>
    <col min="2317" max="2317" width="13.5703125" customWidth="1"/>
    <col min="2318" max="2322" width="0" hidden="1" customWidth="1"/>
    <col min="2561" max="2561" width="4.85546875" customWidth="1"/>
    <col min="2562" max="2562" width="3.7109375" customWidth="1"/>
    <col min="2566" max="2566" width="9.85546875" bestFit="1" customWidth="1"/>
    <col min="2567" max="2567" width="31.85546875" customWidth="1"/>
    <col min="2568" max="2568" width="11" customWidth="1"/>
    <col min="2569" max="2569" width="13.140625" customWidth="1"/>
    <col min="2570" max="2570" width="10" bestFit="1" customWidth="1"/>
    <col min="2573" max="2573" width="13.5703125" customWidth="1"/>
    <col min="2574" max="2578" width="0" hidden="1" customWidth="1"/>
    <col min="2817" max="2817" width="4.85546875" customWidth="1"/>
    <col min="2818" max="2818" width="3.7109375" customWidth="1"/>
    <col min="2822" max="2822" width="9.85546875" bestFit="1" customWidth="1"/>
    <col min="2823" max="2823" width="31.85546875" customWidth="1"/>
    <col min="2824" max="2824" width="11" customWidth="1"/>
    <col min="2825" max="2825" width="13.140625" customWidth="1"/>
    <col min="2826" max="2826" width="10" bestFit="1" customWidth="1"/>
    <col min="2829" max="2829" width="13.5703125" customWidth="1"/>
    <col min="2830" max="2834" width="0" hidden="1" customWidth="1"/>
    <col min="3073" max="3073" width="4.85546875" customWidth="1"/>
    <col min="3074" max="3074" width="3.7109375" customWidth="1"/>
    <col min="3078" max="3078" width="9.85546875" bestFit="1" customWidth="1"/>
    <col min="3079" max="3079" width="31.85546875" customWidth="1"/>
    <col min="3080" max="3080" width="11" customWidth="1"/>
    <col min="3081" max="3081" width="13.140625" customWidth="1"/>
    <col min="3082" max="3082" width="10" bestFit="1" customWidth="1"/>
    <col min="3085" max="3085" width="13.5703125" customWidth="1"/>
    <col min="3086" max="3090" width="0" hidden="1" customWidth="1"/>
    <col min="3329" max="3329" width="4.85546875" customWidth="1"/>
    <col min="3330" max="3330" width="3.7109375" customWidth="1"/>
    <col min="3334" max="3334" width="9.85546875" bestFit="1" customWidth="1"/>
    <col min="3335" max="3335" width="31.85546875" customWidth="1"/>
    <col min="3336" max="3336" width="11" customWidth="1"/>
    <col min="3337" max="3337" width="13.140625" customWidth="1"/>
    <col min="3338" max="3338" width="10" bestFit="1" customWidth="1"/>
    <col min="3341" max="3341" width="13.5703125" customWidth="1"/>
    <col min="3342" max="3346" width="0" hidden="1" customWidth="1"/>
    <col min="3585" max="3585" width="4.85546875" customWidth="1"/>
    <col min="3586" max="3586" width="3.7109375" customWidth="1"/>
    <col min="3590" max="3590" width="9.85546875" bestFit="1" customWidth="1"/>
    <col min="3591" max="3591" width="31.85546875" customWidth="1"/>
    <col min="3592" max="3592" width="11" customWidth="1"/>
    <col min="3593" max="3593" width="13.140625" customWidth="1"/>
    <col min="3594" max="3594" width="10" bestFit="1" customWidth="1"/>
    <col min="3597" max="3597" width="13.5703125" customWidth="1"/>
    <col min="3598" max="3602" width="0" hidden="1" customWidth="1"/>
    <col min="3841" max="3841" width="4.85546875" customWidth="1"/>
    <col min="3842" max="3842" width="3.7109375" customWidth="1"/>
    <col min="3846" max="3846" width="9.85546875" bestFit="1" customWidth="1"/>
    <col min="3847" max="3847" width="31.85546875" customWidth="1"/>
    <col min="3848" max="3848" width="11" customWidth="1"/>
    <col min="3849" max="3849" width="13.140625" customWidth="1"/>
    <col min="3850" max="3850" width="10" bestFit="1" customWidth="1"/>
    <col min="3853" max="3853" width="13.5703125" customWidth="1"/>
    <col min="3854" max="3858" width="0" hidden="1" customWidth="1"/>
    <col min="4097" max="4097" width="4.85546875" customWidth="1"/>
    <col min="4098" max="4098" width="3.7109375" customWidth="1"/>
    <col min="4102" max="4102" width="9.85546875" bestFit="1" customWidth="1"/>
    <col min="4103" max="4103" width="31.85546875" customWidth="1"/>
    <col min="4104" max="4104" width="11" customWidth="1"/>
    <col min="4105" max="4105" width="13.140625" customWidth="1"/>
    <col min="4106" max="4106" width="10" bestFit="1" customWidth="1"/>
    <col min="4109" max="4109" width="13.5703125" customWidth="1"/>
    <col min="4110" max="4114" width="0" hidden="1" customWidth="1"/>
    <col min="4353" max="4353" width="4.85546875" customWidth="1"/>
    <col min="4354" max="4354" width="3.7109375" customWidth="1"/>
    <col min="4358" max="4358" width="9.85546875" bestFit="1" customWidth="1"/>
    <col min="4359" max="4359" width="31.85546875" customWidth="1"/>
    <col min="4360" max="4360" width="11" customWidth="1"/>
    <col min="4361" max="4361" width="13.140625" customWidth="1"/>
    <col min="4362" max="4362" width="10" bestFit="1" customWidth="1"/>
    <col min="4365" max="4365" width="13.5703125" customWidth="1"/>
    <col min="4366" max="4370" width="0" hidden="1" customWidth="1"/>
    <col min="4609" max="4609" width="4.85546875" customWidth="1"/>
    <col min="4610" max="4610" width="3.7109375" customWidth="1"/>
    <col min="4614" max="4614" width="9.85546875" bestFit="1" customWidth="1"/>
    <col min="4615" max="4615" width="31.85546875" customWidth="1"/>
    <col min="4616" max="4616" width="11" customWidth="1"/>
    <col min="4617" max="4617" width="13.140625" customWidth="1"/>
    <col min="4618" max="4618" width="10" bestFit="1" customWidth="1"/>
    <col min="4621" max="4621" width="13.5703125" customWidth="1"/>
    <col min="4622" max="4626" width="0" hidden="1" customWidth="1"/>
    <col min="4865" max="4865" width="4.85546875" customWidth="1"/>
    <col min="4866" max="4866" width="3.7109375" customWidth="1"/>
    <col min="4870" max="4870" width="9.85546875" bestFit="1" customWidth="1"/>
    <col min="4871" max="4871" width="31.85546875" customWidth="1"/>
    <col min="4872" max="4872" width="11" customWidth="1"/>
    <col min="4873" max="4873" width="13.140625" customWidth="1"/>
    <col min="4874" max="4874" width="10" bestFit="1" customWidth="1"/>
    <col min="4877" max="4877" width="13.5703125" customWidth="1"/>
    <col min="4878" max="4882" width="0" hidden="1" customWidth="1"/>
    <col min="5121" max="5121" width="4.85546875" customWidth="1"/>
    <col min="5122" max="5122" width="3.7109375" customWidth="1"/>
    <col min="5126" max="5126" width="9.85546875" bestFit="1" customWidth="1"/>
    <col min="5127" max="5127" width="31.85546875" customWidth="1"/>
    <col min="5128" max="5128" width="11" customWidth="1"/>
    <col min="5129" max="5129" width="13.140625" customWidth="1"/>
    <col min="5130" max="5130" width="10" bestFit="1" customWidth="1"/>
    <col min="5133" max="5133" width="13.5703125" customWidth="1"/>
    <col min="5134" max="5138" width="0" hidden="1" customWidth="1"/>
    <col min="5377" max="5377" width="4.85546875" customWidth="1"/>
    <col min="5378" max="5378" width="3.7109375" customWidth="1"/>
    <col min="5382" max="5382" width="9.85546875" bestFit="1" customWidth="1"/>
    <col min="5383" max="5383" width="31.85546875" customWidth="1"/>
    <col min="5384" max="5384" width="11" customWidth="1"/>
    <col min="5385" max="5385" width="13.140625" customWidth="1"/>
    <col min="5386" max="5386" width="10" bestFit="1" customWidth="1"/>
    <col min="5389" max="5389" width="13.5703125" customWidth="1"/>
    <col min="5390" max="5394" width="0" hidden="1" customWidth="1"/>
    <col min="5633" max="5633" width="4.85546875" customWidth="1"/>
    <col min="5634" max="5634" width="3.7109375" customWidth="1"/>
    <col min="5638" max="5638" width="9.85546875" bestFit="1" customWidth="1"/>
    <col min="5639" max="5639" width="31.85546875" customWidth="1"/>
    <col min="5640" max="5640" width="11" customWidth="1"/>
    <col min="5641" max="5641" width="13.140625" customWidth="1"/>
    <col min="5642" max="5642" width="10" bestFit="1" customWidth="1"/>
    <col min="5645" max="5645" width="13.5703125" customWidth="1"/>
    <col min="5646" max="5650" width="0" hidden="1" customWidth="1"/>
    <col min="5889" max="5889" width="4.85546875" customWidth="1"/>
    <col min="5890" max="5890" width="3.7109375" customWidth="1"/>
    <col min="5894" max="5894" width="9.85546875" bestFit="1" customWidth="1"/>
    <col min="5895" max="5895" width="31.85546875" customWidth="1"/>
    <col min="5896" max="5896" width="11" customWidth="1"/>
    <col min="5897" max="5897" width="13.140625" customWidth="1"/>
    <col min="5898" max="5898" width="10" bestFit="1" customWidth="1"/>
    <col min="5901" max="5901" width="13.5703125" customWidth="1"/>
    <col min="5902" max="5906" width="0" hidden="1" customWidth="1"/>
    <col min="6145" max="6145" width="4.85546875" customWidth="1"/>
    <col min="6146" max="6146" width="3.7109375" customWidth="1"/>
    <col min="6150" max="6150" width="9.85546875" bestFit="1" customWidth="1"/>
    <col min="6151" max="6151" width="31.85546875" customWidth="1"/>
    <col min="6152" max="6152" width="11" customWidth="1"/>
    <col min="6153" max="6153" width="13.140625" customWidth="1"/>
    <col min="6154" max="6154" width="10" bestFit="1" customWidth="1"/>
    <col min="6157" max="6157" width="13.5703125" customWidth="1"/>
    <col min="6158" max="6162" width="0" hidden="1" customWidth="1"/>
    <col min="6401" max="6401" width="4.85546875" customWidth="1"/>
    <col min="6402" max="6402" width="3.7109375" customWidth="1"/>
    <col min="6406" max="6406" width="9.85546875" bestFit="1" customWidth="1"/>
    <col min="6407" max="6407" width="31.85546875" customWidth="1"/>
    <col min="6408" max="6408" width="11" customWidth="1"/>
    <col min="6409" max="6409" width="13.140625" customWidth="1"/>
    <col min="6410" max="6410" width="10" bestFit="1" customWidth="1"/>
    <col min="6413" max="6413" width="13.5703125" customWidth="1"/>
    <col min="6414" max="6418" width="0" hidden="1" customWidth="1"/>
    <col min="6657" max="6657" width="4.85546875" customWidth="1"/>
    <col min="6658" max="6658" width="3.7109375" customWidth="1"/>
    <col min="6662" max="6662" width="9.85546875" bestFit="1" customWidth="1"/>
    <col min="6663" max="6663" width="31.85546875" customWidth="1"/>
    <col min="6664" max="6664" width="11" customWidth="1"/>
    <col min="6665" max="6665" width="13.140625" customWidth="1"/>
    <col min="6666" max="6666" width="10" bestFit="1" customWidth="1"/>
    <col min="6669" max="6669" width="13.5703125" customWidth="1"/>
    <col min="6670" max="6674" width="0" hidden="1" customWidth="1"/>
    <col min="6913" max="6913" width="4.85546875" customWidth="1"/>
    <col min="6914" max="6914" width="3.7109375" customWidth="1"/>
    <col min="6918" max="6918" width="9.85546875" bestFit="1" customWidth="1"/>
    <col min="6919" max="6919" width="31.85546875" customWidth="1"/>
    <col min="6920" max="6920" width="11" customWidth="1"/>
    <col min="6921" max="6921" width="13.140625" customWidth="1"/>
    <col min="6922" max="6922" width="10" bestFit="1" customWidth="1"/>
    <col min="6925" max="6925" width="13.5703125" customWidth="1"/>
    <col min="6926" max="6930" width="0" hidden="1" customWidth="1"/>
    <col min="7169" max="7169" width="4.85546875" customWidth="1"/>
    <col min="7170" max="7170" width="3.7109375" customWidth="1"/>
    <col min="7174" max="7174" width="9.85546875" bestFit="1" customWidth="1"/>
    <col min="7175" max="7175" width="31.85546875" customWidth="1"/>
    <col min="7176" max="7176" width="11" customWidth="1"/>
    <col min="7177" max="7177" width="13.140625" customWidth="1"/>
    <col min="7178" max="7178" width="10" bestFit="1" customWidth="1"/>
    <col min="7181" max="7181" width="13.5703125" customWidth="1"/>
    <col min="7182" max="7186" width="0" hidden="1" customWidth="1"/>
    <col min="7425" max="7425" width="4.85546875" customWidth="1"/>
    <col min="7426" max="7426" width="3.7109375" customWidth="1"/>
    <col min="7430" max="7430" width="9.85546875" bestFit="1" customWidth="1"/>
    <col min="7431" max="7431" width="31.85546875" customWidth="1"/>
    <col min="7432" max="7432" width="11" customWidth="1"/>
    <col min="7433" max="7433" width="13.140625" customWidth="1"/>
    <col min="7434" max="7434" width="10" bestFit="1" customWidth="1"/>
    <col min="7437" max="7437" width="13.5703125" customWidth="1"/>
    <col min="7438" max="7442" width="0" hidden="1" customWidth="1"/>
    <col min="7681" max="7681" width="4.85546875" customWidth="1"/>
    <col min="7682" max="7682" width="3.7109375" customWidth="1"/>
    <col min="7686" max="7686" width="9.85546875" bestFit="1" customWidth="1"/>
    <col min="7687" max="7687" width="31.85546875" customWidth="1"/>
    <col min="7688" max="7688" width="11" customWidth="1"/>
    <col min="7689" max="7689" width="13.140625" customWidth="1"/>
    <col min="7690" max="7690" width="10" bestFit="1" customWidth="1"/>
    <col min="7693" max="7693" width="13.5703125" customWidth="1"/>
    <col min="7694" max="7698" width="0" hidden="1" customWidth="1"/>
    <col min="7937" max="7937" width="4.85546875" customWidth="1"/>
    <col min="7938" max="7938" width="3.7109375" customWidth="1"/>
    <col min="7942" max="7942" width="9.85546875" bestFit="1" customWidth="1"/>
    <col min="7943" max="7943" width="31.85546875" customWidth="1"/>
    <col min="7944" max="7944" width="11" customWidth="1"/>
    <col min="7945" max="7945" width="13.140625" customWidth="1"/>
    <col min="7946" max="7946" width="10" bestFit="1" customWidth="1"/>
    <col min="7949" max="7949" width="13.5703125" customWidth="1"/>
    <col min="7950" max="7954" width="0" hidden="1" customWidth="1"/>
    <col min="8193" max="8193" width="4.85546875" customWidth="1"/>
    <col min="8194" max="8194" width="3.7109375" customWidth="1"/>
    <col min="8198" max="8198" width="9.85546875" bestFit="1" customWidth="1"/>
    <col min="8199" max="8199" width="31.85546875" customWidth="1"/>
    <col min="8200" max="8200" width="11" customWidth="1"/>
    <col min="8201" max="8201" width="13.140625" customWidth="1"/>
    <col min="8202" max="8202" width="10" bestFit="1" customWidth="1"/>
    <col min="8205" max="8205" width="13.5703125" customWidth="1"/>
    <col min="8206" max="8210" width="0" hidden="1" customWidth="1"/>
    <col min="8449" max="8449" width="4.85546875" customWidth="1"/>
    <col min="8450" max="8450" width="3.7109375" customWidth="1"/>
    <col min="8454" max="8454" width="9.85546875" bestFit="1" customWidth="1"/>
    <col min="8455" max="8455" width="31.85546875" customWidth="1"/>
    <col min="8456" max="8456" width="11" customWidth="1"/>
    <col min="8457" max="8457" width="13.140625" customWidth="1"/>
    <col min="8458" max="8458" width="10" bestFit="1" customWidth="1"/>
    <col min="8461" max="8461" width="13.5703125" customWidth="1"/>
    <col min="8462" max="8466" width="0" hidden="1" customWidth="1"/>
    <col min="8705" max="8705" width="4.85546875" customWidth="1"/>
    <col min="8706" max="8706" width="3.7109375" customWidth="1"/>
    <col min="8710" max="8710" width="9.85546875" bestFit="1" customWidth="1"/>
    <col min="8711" max="8711" width="31.85546875" customWidth="1"/>
    <col min="8712" max="8712" width="11" customWidth="1"/>
    <col min="8713" max="8713" width="13.140625" customWidth="1"/>
    <col min="8714" max="8714" width="10" bestFit="1" customWidth="1"/>
    <col min="8717" max="8717" width="13.5703125" customWidth="1"/>
    <col min="8718" max="8722" width="0" hidden="1" customWidth="1"/>
    <col min="8961" max="8961" width="4.85546875" customWidth="1"/>
    <col min="8962" max="8962" width="3.7109375" customWidth="1"/>
    <col min="8966" max="8966" width="9.85546875" bestFit="1" customWidth="1"/>
    <col min="8967" max="8967" width="31.85546875" customWidth="1"/>
    <col min="8968" max="8968" width="11" customWidth="1"/>
    <col min="8969" max="8969" width="13.140625" customWidth="1"/>
    <col min="8970" max="8970" width="10" bestFit="1" customWidth="1"/>
    <col min="8973" max="8973" width="13.5703125" customWidth="1"/>
    <col min="8974" max="8978" width="0" hidden="1" customWidth="1"/>
    <col min="9217" max="9217" width="4.85546875" customWidth="1"/>
    <col min="9218" max="9218" width="3.7109375" customWidth="1"/>
    <col min="9222" max="9222" width="9.85546875" bestFit="1" customWidth="1"/>
    <col min="9223" max="9223" width="31.85546875" customWidth="1"/>
    <col min="9224" max="9224" width="11" customWidth="1"/>
    <col min="9225" max="9225" width="13.140625" customWidth="1"/>
    <col min="9226" max="9226" width="10" bestFit="1" customWidth="1"/>
    <col min="9229" max="9229" width="13.5703125" customWidth="1"/>
    <col min="9230" max="9234" width="0" hidden="1" customWidth="1"/>
    <col min="9473" max="9473" width="4.85546875" customWidth="1"/>
    <col min="9474" max="9474" width="3.7109375" customWidth="1"/>
    <col min="9478" max="9478" width="9.85546875" bestFit="1" customWidth="1"/>
    <col min="9479" max="9479" width="31.85546875" customWidth="1"/>
    <col min="9480" max="9480" width="11" customWidth="1"/>
    <col min="9481" max="9481" width="13.140625" customWidth="1"/>
    <col min="9482" max="9482" width="10" bestFit="1" customWidth="1"/>
    <col min="9485" max="9485" width="13.5703125" customWidth="1"/>
    <col min="9486" max="9490" width="0" hidden="1" customWidth="1"/>
    <col min="9729" max="9729" width="4.85546875" customWidth="1"/>
    <col min="9730" max="9730" width="3.7109375" customWidth="1"/>
    <col min="9734" max="9734" width="9.85546875" bestFit="1" customWidth="1"/>
    <col min="9735" max="9735" width="31.85546875" customWidth="1"/>
    <col min="9736" max="9736" width="11" customWidth="1"/>
    <col min="9737" max="9737" width="13.140625" customWidth="1"/>
    <col min="9738" max="9738" width="10" bestFit="1" customWidth="1"/>
    <col min="9741" max="9741" width="13.5703125" customWidth="1"/>
    <col min="9742" max="9746" width="0" hidden="1" customWidth="1"/>
    <col min="9985" max="9985" width="4.85546875" customWidth="1"/>
    <col min="9986" max="9986" width="3.7109375" customWidth="1"/>
    <col min="9990" max="9990" width="9.85546875" bestFit="1" customWidth="1"/>
    <col min="9991" max="9991" width="31.85546875" customWidth="1"/>
    <col min="9992" max="9992" width="11" customWidth="1"/>
    <col min="9993" max="9993" width="13.140625" customWidth="1"/>
    <col min="9994" max="9994" width="10" bestFit="1" customWidth="1"/>
    <col min="9997" max="9997" width="13.5703125" customWidth="1"/>
    <col min="9998" max="10002" width="0" hidden="1" customWidth="1"/>
    <col min="10241" max="10241" width="4.85546875" customWidth="1"/>
    <col min="10242" max="10242" width="3.7109375" customWidth="1"/>
    <col min="10246" max="10246" width="9.85546875" bestFit="1" customWidth="1"/>
    <col min="10247" max="10247" width="31.85546875" customWidth="1"/>
    <col min="10248" max="10248" width="11" customWidth="1"/>
    <col min="10249" max="10249" width="13.140625" customWidth="1"/>
    <col min="10250" max="10250" width="10" bestFit="1" customWidth="1"/>
    <col min="10253" max="10253" width="13.5703125" customWidth="1"/>
    <col min="10254" max="10258" width="0" hidden="1" customWidth="1"/>
    <col min="10497" max="10497" width="4.85546875" customWidth="1"/>
    <col min="10498" max="10498" width="3.7109375" customWidth="1"/>
    <col min="10502" max="10502" width="9.85546875" bestFit="1" customWidth="1"/>
    <col min="10503" max="10503" width="31.85546875" customWidth="1"/>
    <col min="10504" max="10504" width="11" customWidth="1"/>
    <col min="10505" max="10505" width="13.140625" customWidth="1"/>
    <col min="10506" max="10506" width="10" bestFit="1" customWidth="1"/>
    <col min="10509" max="10509" width="13.5703125" customWidth="1"/>
    <col min="10510" max="10514" width="0" hidden="1" customWidth="1"/>
    <col min="10753" max="10753" width="4.85546875" customWidth="1"/>
    <col min="10754" max="10754" width="3.7109375" customWidth="1"/>
    <col min="10758" max="10758" width="9.85546875" bestFit="1" customWidth="1"/>
    <col min="10759" max="10759" width="31.85546875" customWidth="1"/>
    <col min="10760" max="10760" width="11" customWidth="1"/>
    <col min="10761" max="10761" width="13.140625" customWidth="1"/>
    <col min="10762" max="10762" width="10" bestFit="1" customWidth="1"/>
    <col min="10765" max="10765" width="13.5703125" customWidth="1"/>
    <col min="10766" max="10770" width="0" hidden="1" customWidth="1"/>
    <col min="11009" max="11009" width="4.85546875" customWidth="1"/>
    <col min="11010" max="11010" width="3.7109375" customWidth="1"/>
    <col min="11014" max="11014" width="9.85546875" bestFit="1" customWidth="1"/>
    <col min="11015" max="11015" width="31.85546875" customWidth="1"/>
    <col min="11016" max="11016" width="11" customWidth="1"/>
    <col min="11017" max="11017" width="13.140625" customWidth="1"/>
    <col min="11018" max="11018" width="10" bestFit="1" customWidth="1"/>
    <col min="11021" max="11021" width="13.5703125" customWidth="1"/>
    <col min="11022" max="11026" width="0" hidden="1" customWidth="1"/>
    <col min="11265" max="11265" width="4.85546875" customWidth="1"/>
    <col min="11266" max="11266" width="3.7109375" customWidth="1"/>
    <col min="11270" max="11270" width="9.85546875" bestFit="1" customWidth="1"/>
    <col min="11271" max="11271" width="31.85546875" customWidth="1"/>
    <col min="11272" max="11272" width="11" customWidth="1"/>
    <col min="11273" max="11273" width="13.140625" customWidth="1"/>
    <col min="11274" max="11274" width="10" bestFit="1" customWidth="1"/>
    <col min="11277" max="11277" width="13.5703125" customWidth="1"/>
    <col min="11278" max="11282" width="0" hidden="1" customWidth="1"/>
    <col min="11521" max="11521" width="4.85546875" customWidth="1"/>
    <col min="11522" max="11522" width="3.7109375" customWidth="1"/>
    <col min="11526" max="11526" width="9.85546875" bestFit="1" customWidth="1"/>
    <col min="11527" max="11527" width="31.85546875" customWidth="1"/>
    <col min="11528" max="11528" width="11" customWidth="1"/>
    <col min="11529" max="11529" width="13.140625" customWidth="1"/>
    <col min="11530" max="11530" width="10" bestFit="1" customWidth="1"/>
    <col min="11533" max="11533" width="13.5703125" customWidth="1"/>
    <col min="11534" max="11538" width="0" hidden="1" customWidth="1"/>
    <col min="11777" max="11777" width="4.85546875" customWidth="1"/>
    <col min="11778" max="11778" width="3.7109375" customWidth="1"/>
    <col min="11782" max="11782" width="9.85546875" bestFit="1" customWidth="1"/>
    <col min="11783" max="11783" width="31.85546875" customWidth="1"/>
    <col min="11784" max="11784" width="11" customWidth="1"/>
    <col min="11785" max="11785" width="13.140625" customWidth="1"/>
    <col min="11786" max="11786" width="10" bestFit="1" customWidth="1"/>
    <col min="11789" max="11789" width="13.5703125" customWidth="1"/>
    <col min="11790" max="11794" width="0" hidden="1" customWidth="1"/>
    <col min="12033" max="12033" width="4.85546875" customWidth="1"/>
    <col min="12034" max="12034" width="3.7109375" customWidth="1"/>
    <col min="12038" max="12038" width="9.85546875" bestFit="1" customWidth="1"/>
    <col min="12039" max="12039" width="31.85546875" customWidth="1"/>
    <col min="12040" max="12040" width="11" customWidth="1"/>
    <col min="12041" max="12041" width="13.140625" customWidth="1"/>
    <col min="12042" max="12042" width="10" bestFit="1" customWidth="1"/>
    <col min="12045" max="12045" width="13.5703125" customWidth="1"/>
    <col min="12046" max="12050" width="0" hidden="1" customWidth="1"/>
    <col min="12289" max="12289" width="4.85546875" customWidth="1"/>
    <col min="12290" max="12290" width="3.7109375" customWidth="1"/>
    <col min="12294" max="12294" width="9.85546875" bestFit="1" customWidth="1"/>
    <col min="12295" max="12295" width="31.85546875" customWidth="1"/>
    <col min="12296" max="12296" width="11" customWidth="1"/>
    <col min="12297" max="12297" width="13.140625" customWidth="1"/>
    <col min="12298" max="12298" width="10" bestFit="1" customWidth="1"/>
    <col min="12301" max="12301" width="13.5703125" customWidth="1"/>
    <col min="12302" max="12306" width="0" hidden="1" customWidth="1"/>
    <col min="12545" max="12545" width="4.85546875" customWidth="1"/>
    <col min="12546" max="12546" width="3.7109375" customWidth="1"/>
    <col min="12550" max="12550" width="9.85546875" bestFit="1" customWidth="1"/>
    <col min="12551" max="12551" width="31.85546875" customWidth="1"/>
    <col min="12552" max="12552" width="11" customWidth="1"/>
    <col min="12553" max="12553" width="13.140625" customWidth="1"/>
    <col min="12554" max="12554" width="10" bestFit="1" customWidth="1"/>
    <col min="12557" max="12557" width="13.5703125" customWidth="1"/>
    <col min="12558" max="12562" width="0" hidden="1" customWidth="1"/>
    <col min="12801" max="12801" width="4.85546875" customWidth="1"/>
    <col min="12802" max="12802" width="3.7109375" customWidth="1"/>
    <col min="12806" max="12806" width="9.85546875" bestFit="1" customWidth="1"/>
    <col min="12807" max="12807" width="31.85546875" customWidth="1"/>
    <col min="12808" max="12808" width="11" customWidth="1"/>
    <col min="12809" max="12809" width="13.140625" customWidth="1"/>
    <col min="12810" max="12810" width="10" bestFit="1" customWidth="1"/>
    <col min="12813" max="12813" width="13.5703125" customWidth="1"/>
    <col min="12814" max="12818" width="0" hidden="1" customWidth="1"/>
    <col min="13057" max="13057" width="4.85546875" customWidth="1"/>
    <col min="13058" max="13058" width="3.7109375" customWidth="1"/>
    <col min="13062" max="13062" width="9.85546875" bestFit="1" customWidth="1"/>
    <col min="13063" max="13063" width="31.85546875" customWidth="1"/>
    <col min="13064" max="13064" width="11" customWidth="1"/>
    <col min="13065" max="13065" width="13.140625" customWidth="1"/>
    <col min="13066" max="13066" width="10" bestFit="1" customWidth="1"/>
    <col min="13069" max="13069" width="13.5703125" customWidth="1"/>
    <col min="13070" max="13074" width="0" hidden="1" customWidth="1"/>
    <col min="13313" max="13313" width="4.85546875" customWidth="1"/>
    <col min="13314" max="13314" width="3.7109375" customWidth="1"/>
    <col min="13318" max="13318" width="9.85546875" bestFit="1" customWidth="1"/>
    <col min="13319" max="13319" width="31.85546875" customWidth="1"/>
    <col min="13320" max="13320" width="11" customWidth="1"/>
    <col min="13321" max="13321" width="13.140625" customWidth="1"/>
    <col min="13322" max="13322" width="10" bestFit="1" customWidth="1"/>
    <col min="13325" max="13325" width="13.5703125" customWidth="1"/>
    <col min="13326" max="13330" width="0" hidden="1" customWidth="1"/>
    <col min="13569" max="13569" width="4.85546875" customWidth="1"/>
    <col min="13570" max="13570" width="3.7109375" customWidth="1"/>
    <col min="13574" max="13574" width="9.85546875" bestFit="1" customWidth="1"/>
    <col min="13575" max="13575" width="31.85546875" customWidth="1"/>
    <col min="13576" max="13576" width="11" customWidth="1"/>
    <col min="13577" max="13577" width="13.140625" customWidth="1"/>
    <col min="13578" max="13578" width="10" bestFit="1" customWidth="1"/>
    <col min="13581" max="13581" width="13.5703125" customWidth="1"/>
    <col min="13582" max="13586" width="0" hidden="1" customWidth="1"/>
    <col min="13825" max="13825" width="4.85546875" customWidth="1"/>
    <col min="13826" max="13826" width="3.7109375" customWidth="1"/>
    <col min="13830" max="13830" width="9.85546875" bestFit="1" customWidth="1"/>
    <col min="13831" max="13831" width="31.85546875" customWidth="1"/>
    <col min="13832" max="13832" width="11" customWidth="1"/>
    <col min="13833" max="13833" width="13.140625" customWidth="1"/>
    <col min="13834" max="13834" width="10" bestFit="1" customWidth="1"/>
    <col min="13837" max="13837" width="13.5703125" customWidth="1"/>
    <col min="13838" max="13842" width="0" hidden="1" customWidth="1"/>
    <col min="14081" max="14081" width="4.85546875" customWidth="1"/>
    <col min="14082" max="14082" width="3.7109375" customWidth="1"/>
    <col min="14086" max="14086" width="9.85546875" bestFit="1" customWidth="1"/>
    <col min="14087" max="14087" width="31.85546875" customWidth="1"/>
    <col min="14088" max="14088" width="11" customWidth="1"/>
    <col min="14089" max="14089" width="13.140625" customWidth="1"/>
    <col min="14090" max="14090" width="10" bestFit="1" customWidth="1"/>
    <col min="14093" max="14093" width="13.5703125" customWidth="1"/>
    <col min="14094" max="14098" width="0" hidden="1" customWidth="1"/>
    <col min="14337" max="14337" width="4.85546875" customWidth="1"/>
    <col min="14338" max="14338" width="3.7109375" customWidth="1"/>
    <col min="14342" max="14342" width="9.85546875" bestFit="1" customWidth="1"/>
    <col min="14343" max="14343" width="31.85546875" customWidth="1"/>
    <col min="14344" max="14344" width="11" customWidth="1"/>
    <col min="14345" max="14345" width="13.140625" customWidth="1"/>
    <col min="14346" max="14346" width="10" bestFit="1" customWidth="1"/>
    <col min="14349" max="14349" width="13.5703125" customWidth="1"/>
    <col min="14350" max="14354" width="0" hidden="1" customWidth="1"/>
    <col min="14593" max="14593" width="4.85546875" customWidth="1"/>
    <col min="14594" max="14594" width="3.7109375" customWidth="1"/>
    <col min="14598" max="14598" width="9.85546875" bestFit="1" customWidth="1"/>
    <col min="14599" max="14599" width="31.85546875" customWidth="1"/>
    <col min="14600" max="14600" width="11" customWidth="1"/>
    <col min="14601" max="14601" width="13.140625" customWidth="1"/>
    <col min="14602" max="14602" width="10" bestFit="1" customWidth="1"/>
    <col min="14605" max="14605" width="13.5703125" customWidth="1"/>
    <col min="14606" max="14610" width="0" hidden="1" customWidth="1"/>
    <col min="14849" max="14849" width="4.85546875" customWidth="1"/>
    <col min="14850" max="14850" width="3.7109375" customWidth="1"/>
    <col min="14854" max="14854" width="9.85546875" bestFit="1" customWidth="1"/>
    <col min="14855" max="14855" width="31.85546875" customWidth="1"/>
    <col min="14856" max="14856" width="11" customWidth="1"/>
    <col min="14857" max="14857" width="13.140625" customWidth="1"/>
    <col min="14858" max="14858" width="10" bestFit="1" customWidth="1"/>
    <col min="14861" max="14861" width="13.5703125" customWidth="1"/>
    <col min="14862" max="14866" width="0" hidden="1" customWidth="1"/>
    <col min="15105" max="15105" width="4.85546875" customWidth="1"/>
    <col min="15106" max="15106" width="3.7109375" customWidth="1"/>
    <col min="15110" max="15110" width="9.85546875" bestFit="1" customWidth="1"/>
    <col min="15111" max="15111" width="31.85546875" customWidth="1"/>
    <col min="15112" max="15112" width="11" customWidth="1"/>
    <col min="15113" max="15113" width="13.140625" customWidth="1"/>
    <col min="15114" max="15114" width="10" bestFit="1" customWidth="1"/>
    <col min="15117" max="15117" width="13.5703125" customWidth="1"/>
    <col min="15118" max="15122" width="0" hidden="1" customWidth="1"/>
    <col min="15361" max="15361" width="4.85546875" customWidth="1"/>
    <col min="15362" max="15362" width="3.7109375" customWidth="1"/>
    <col min="15366" max="15366" width="9.85546875" bestFit="1" customWidth="1"/>
    <col min="15367" max="15367" width="31.85546875" customWidth="1"/>
    <col min="15368" max="15368" width="11" customWidth="1"/>
    <col min="15369" max="15369" width="13.140625" customWidth="1"/>
    <col min="15370" max="15370" width="10" bestFit="1" customWidth="1"/>
    <col min="15373" max="15373" width="13.5703125" customWidth="1"/>
    <col min="15374" max="15378" width="0" hidden="1" customWidth="1"/>
    <col min="15617" max="15617" width="4.85546875" customWidth="1"/>
    <col min="15618" max="15618" width="3.7109375" customWidth="1"/>
    <col min="15622" max="15622" width="9.85546875" bestFit="1" customWidth="1"/>
    <col min="15623" max="15623" width="31.85546875" customWidth="1"/>
    <col min="15624" max="15624" width="11" customWidth="1"/>
    <col min="15625" max="15625" width="13.140625" customWidth="1"/>
    <col min="15626" max="15626" width="10" bestFit="1" customWidth="1"/>
    <col min="15629" max="15629" width="13.5703125" customWidth="1"/>
    <col min="15630" max="15634" width="0" hidden="1" customWidth="1"/>
    <col min="15873" max="15873" width="4.85546875" customWidth="1"/>
    <col min="15874" max="15874" width="3.7109375" customWidth="1"/>
    <col min="15878" max="15878" width="9.85546875" bestFit="1" customWidth="1"/>
    <col min="15879" max="15879" width="31.85546875" customWidth="1"/>
    <col min="15880" max="15880" width="11" customWidth="1"/>
    <col min="15881" max="15881" width="13.140625" customWidth="1"/>
    <col min="15882" max="15882" width="10" bestFit="1" customWidth="1"/>
    <col min="15885" max="15885" width="13.5703125" customWidth="1"/>
    <col min="15886" max="15890" width="0" hidden="1" customWidth="1"/>
    <col min="16129" max="16129" width="4.85546875" customWidth="1"/>
    <col min="16130" max="16130" width="3.7109375" customWidth="1"/>
    <col min="16134" max="16134" width="9.85546875" bestFit="1" customWidth="1"/>
    <col min="16135" max="16135" width="31.85546875" customWidth="1"/>
    <col min="16136" max="16136" width="11" customWidth="1"/>
    <col min="16137" max="16137" width="13.140625" customWidth="1"/>
    <col min="16138" max="16138" width="10" bestFit="1" customWidth="1"/>
    <col min="16141" max="16141" width="13.5703125" customWidth="1"/>
    <col min="16142" max="16146" width="0" hidden="1" customWidth="1"/>
  </cols>
  <sheetData>
    <row r="1" spans="2:19" ht="15.75" thickBot="1" x14ac:dyDescent="0.3"/>
    <row r="2" spans="2:19" x14ac:dyDescent="0.25">
      <c r="B2" s="141" t="s">
        <v>70</v>
      </c>
      <c r="C2" s="142"/>
      <c r="D2" s="142"/>
      <c r="E2" s="142"/>
      <c r="F2" s="142"/>
      <c r="G2" s="142"/>
      <c r="H2" s="142"/>
      <c r="I2" s="143"/>
    </row>
    <row r="3" spans="2:19" ht="15.75" thickBot="1" x14ac:dyDescent="0.3">
      <c r="B3" s="144"/>
      <c r="C3" s="145"/>
      <c r="D3" s="145"/>
      <c r="E3" s="145"/>
      <c r="F3" s="145"/>
      <c r="G3" s="145"/>
      <c r="H3" s="145"/>
      <c r="I3" s="146"/>
    </row>
    <row r="4" spans="2:19" x14ac:dyDescent="0.25">
      <c r="B4" t="s">
        <v>24</v>
      </c>
    </row>
    <row r="6" spans="2:19" ht="15.75" thickBot="1" x14ac:dyDescent="0.3"/>
    <row r="7" spans="2:19" x14ac:dyDescent="0.25">
      <c r="B7" s="121" t="s">
        <v>0</v>
      </c>
      <c r="C7" s="123" t="s">
        <v>1</v>
      </c>
      <c r="D7" s="124"/>
      <c r="E7" s="125"/>
      <c r="F7" s="121" t="s">
        <v>2</v>
      </c>
      <c r="G7" s="129" t="s">
        <v>3</v>
      </c>
      <c r="H7" s="129" t="s">
        <v>25</v>
      </c>
      <c r="I7" s="30"/>
    </row>
    <row r="8" spans="2:19" ht="15.75" thickBot="1" x14ac:dyDescent="0.3">
      <c r="B8" s="122"/>
      <c r="C8" s="126"/>
      <c r="D8" s="127"/>
      <c r="E8" s="128"/>
      <c r="F8" s="122"/>
      <c r="G8" s="130"/>
      <c r="H8" s="130"/>
      <c r="I8" s="26" t="s">
        <v>5</v>
      </c>
    </row>
    <row r="9" spans="2:19" ht="15.75" thickBot="1" x14ac:dyDescent="0.3">
      <c r="B9" s="3">
        <v>1</v>
      </c>
      <c r="C9" s="100" t="s">
        <v>26</v>
      </c>
      <c r="D9" s="101"/>
      <c r="E9" s="102"/>
      <c r="F9" s="4">
        <v>338</v>
      </c>
      <c r="G9" s="5">
        <v>4.12</v>
      </c>
      <c r="H9" s="5">
        <f>+F9*G9</f>
        <v>1392.56</v>
      </c>
      <c r="I9" s="5">
        <f t="shared" ref="I9:I14" si="0">F9*G9</f>
        <v>1392.56</v>
      </c>
      <c r="J9" s="139"/>
      <c r="K9" s="140"/>
      <c r="L9" s="140"/>
      <c r="M9" s="140"/>
      <c r="N9" s="140"/>
      <c r="O9" s="140"/>
      <c r="P9" s="140"/>
      <c r="Q9" s="140"/>
      <c r="R9" s="140"/>
    </row>
    <row r="10" spans="2:19" ht="15.75" thickBot="1" x14ac:dyDescent="0.3">
      <c r="B10" s="3">
        <v>2</v>
      </c>
      <c r="C10" s="100" t="s">
        <v>27</v>
      </c>
      <c r="D10" s="101"/>
      <c r="E10" s="102"/>
      <c r="F10" s="4">
        <v>62</v>
      </c>
      <c r="G10" s="5">
        <v>4.05</v>
      </c>
      <c r="H10" s="5">
        <f>F10*G10</f>
        <v>251.1</v>
      </c>
      <c r="I10" s="5">
        <f t="shared" si="0"/>
        <v>251.1</v>
      </c>
      <c r="J10" s="31"/>
      <c r="K10" s="32"/>
      <c r="L10" s="32"/>
      <c r="M10" s="32"/>
      <c r="N10" s="32"/>
      <c r="O10" s="32"/>
      <c r="P10" s="32"/>
      <c r="Q10" s="32"/>
      <c r="R10" s="32"/>
    </row>
    <row r="11" spans="2:19" ht="15.75" thickBot="1" x14ac:dyDescent="0.3">
      <c r="B11" s="3">
        <v>3</v>
      </c>
      <c r="C11" s="100" t="s">
        <v>12</v>
      </c>
      <c r="D11" s="101"/>
      <c r="E11" s="102"/>
      <c r="F11" s="4">
        <v>6</v>
      </c>
      <c r="G11" s="5">
        <v>6.23</v>
      </c>
      <c r="H11" s="5">
        <f>+F11*G11</f>
        <v>37.380000000000003</v>
      </c>
      <c r="I11" s="5">
        <f t="shared" si="0"/>
        <v>37.380000000000003</v>
      </c>
    </row>
    <row r="12" spans="2:19" ht="15.75" thickBot="1" x14ac:dyDescent="0.3">
      <c r="B12" s="3">
        <v>4</v>
      </c>
      <c r="C12" s="100" t="s">
        <v>14</v>
      </c>
      <c r="D12" s="101"/>
      <c r="E12" s="102"/>
      <c r="F12" s="4">
        <v>250</v>
      </c>
      <c r="G12" s="5">
        <v>0.17</v>
      </c>
      <c r="H12" s="5">
        <f>+F12*G12</f>
        <v>42.5</v>
      </c>
      <c r="I12" s="33">
        <f t="shared" si="0"/>
        <v>42.5</v>
      </c>
    </row>
    <row r="13" spans="2:19" ht="15.75" thickBot="1" x14ac:dyDescent="0.3">
      <c r="B13" s="3">
        <v>5</v>
      </c>
      <c r="C13" s="100" t="s">
        <v>13</v>
      </c>
      <c r="D13" s="101"/>
      <c r="E13" s="102"/>
      <c r="F13" s="4">
        <v>300</v>
      </c>
      <c r="G13" s="5">
        <v>0.15</v>
      </c>
      <c r="H13" s="5">
        <f>F13*G13</f>
        <v>45</v>
      </c>
      <c r="I13" s="5">
        <f t="shared" si="0"/>
        <v>45</v>
      </c>
    </row>
    <row r="14" spans="2:19" ht="15.75" thickBot="1" x14ac:dyDescent="0.3">
      <c r="B14" s="3">
        <v>6</v>
      </c>
      <c r="C14" s="100" t="s">
        <v>15</v>
      </c>
      <c r="D14" s="101"/>
      <c r="E14" s="102"/>
      <c r="F14" s="4">
        <v>80</v>
      </c>
      <c r="G14" s="5">
        <v>3.56</v>
      </c>
      <c r="H14" s="5">
        <f>+F14*G14</f>
        <v>284.8</v>
      </c>
      <c r="I14" s="5">
        <f t="shared" si="0"/>
        <v>284.8</v>
      </c>
      <c r="J14" s="111" t="s">
        <v>16</v>
      </c>
      <c r="K14" s="112"/>
      <c r="L14" s="112"/>
      <c r="M14" s="112"/>
      <c r="N14" s="112"/>
    </row>
    <row r="15" spans="2:19" ht="15.75" thickBot="1" x14ac:dyDescent="0.3">
      <c r="B15" s="103" t="s">
        <v>17</v>
      </c>
      <c r="C15" s="104"/>
      <c r="D15" s="104"/>
      <c r="E15" s="105"/>
      <c r="F15" s="7">
        <f>SUM(F9:F14)</f>
        <v>1036</v>
      </c>
      <c r="G15" s="8"/>
      <c r="H15" s="34">
        <f>SUM(H9:H14)</f>
        <v>2053.34</v>
      </c>
      <c r="I15" s="5">
        <f>SUM(I9:I14)</f>
        <v>2053.34</v>
      </c>
    </row>
    <row r="16" spans="2:19" ht="15.75" thickBot="1" x14ac:dyDescent="0.3">
      <c r="B16" s="3">
        <v>1</v>
      </c>
      <c r="C16" s="100" t="s">
        <v>18</v>
      </c>
      <c r="D16" s="101"/>
      <c r="E16" s="102"/>
      <c r="F16" s="6">
        <v>39</v>
      </c>
      <c r="G16" s="5">
        <v>2.98</v>
      </c>
      <c r="H16" s="5">
        <f>+F16*G16</f>
        <v>116.22</v>
      </c>
      <c r="I16" s="35"/>
      <c r="S16" t="s">
        <v>28</v>
      </c>
    </row>
    <row r="17" spans="2:10" ht="15.75" thickBot="1" x14ac:dyDescent="0.3">
      <c r="B17" s="11">
        <v>2</v>
      </c>
      <c r="C17" s="100" t="s">
        <v>19</v>
      </c>
      <c r="D17" s="101"/>
      <c r="E17" s="102"/>
      <c r="F17" s="12">
        <v>39</v>
      </c>
      <c r="G17" s="13">
        <v>0.18</v>
      </c>
      <c r="H17" s="13">
        <f>+F17*G17</f>
        <v>7.02</v>
      </c>
      <c r="I17" s="8"/>
    </row>
    <row r="18" spans="2:10" ht="15.75" thickBot="1" x14ac:dyDescent="0.3">
      <c r="B18" s="103" t="s">
        <v>17</v>
      </c>
      <c r="C18" s="104"/>
      <c r="D18" s="104"/>
      <c r="E18" s="105"/>
      <c r="F18" s="8"/>
      <c r="G18" s="8"/>
      <c r="H18" s="14">
        <f>SUM(H16:H17)</f>
        <v>123.24</v>
      </c>
      <c r="I18" s="6">
        <v>100</v>
      </c>
    </row>
    <row r="19" spans="2:10" ht="15.75" thickBot="1" x14ac:dyDescent="0.3">
      <c r="C19" s="97" t="s">
        <v>71</v>
      </c>
      <c r="D19" s="133"/>
      <c r="E19" s="133"/>
      <c r="F19" s="133"/>
      <c r="G19" s="134"/>
      <c r="H19" s="15">
        <f>SUM(H18,H15)</f>
        <v>2176.58</v>
      </c>
      <c r="I19" s="6">
        <f>I15+I18</f>
        <v>2153.34</v>
      </c>
    </row>
    <row r="20" spans="2:10" ht="15.75" thickBot="1" x14ac:dyDescent="0.3">
      <c r="C20" s="108" t="s">
        <v>20</v>
      </c>
      <c r="D20" s="109"/>
      <c r="E20" s="109"/>
      <c r="F20" s="109"/>
      <c r="G20" s="110"/>
      <c r="H20" s="5">
        <f>H19*20/100</f>
        <v>435.31599999999997</v>
      </c>
      <c r="I20" s="5">
        <f>I19*20/100</f>
        <v>430.66800000000001</v>
      </c>
    </row>
    <row r="21" spans="2:10" ht="15.75" thickBot="1" x14ac:dyDescent="0.3">
      <c r="C21" s="97" t="s">
        <v>21</v>
      </c>
      <c r="D21" s="98"/>
      <c r="E21" s="98"/>
      <c r="F21" s="98"/>
      <c r="G21" s="99"/>
      <c r="H21" s="16">
        <f>SUM(H19:H20)</f>
        <v>2611.8959999999997</v>
      </c>
      <c r="I21" s="16">
        <f>SUM(I19:I20)</f>
        <v>2584.0080000000003</v>
      </c>
    </row>
    <row r="22" spans="2:10" ht="15.75" thickBot="1" x14ac:dyDescent="0.3">
      <c r="C22" s="136" t="s">
        <v>72</v>
      </c>
      <c r="D22" s="137"/>
      <c r="E22" s="137"/>
      <c r="F22" s="137"/>
      <c r="G22" s="138"/>
      <c r="H22" s="36">
        <f>+H21/1030</f>
        <v>2.5358213592233008</v>
      </c>
      <c r="I22" s="36">
        <f>+I21/1014</f>
        <v>2.5483313609467459</v>
      </c>
    </row>
    <row r="23" spans="2:10" ht="15.75" thickBot="1" x14ac:dyDescent="0.3">
      <c r="C23" s="88"/>
      <c r="D23" s="89"/>
      <c r="E23" s="89"/>
      <c r="F23" s="89"/>
      <c r="G23" s="90"/>
      <c r="H23" s="5"/>
      <c r="I23" s="5"/>
      <c r="J23" s="37"/>
    </row>
    <row r="24" spans="2:10" ht="15.75" thickBot="1" x14ac:dyDescent="0.3">
      <c r="C24" s="88"/>
      <c r="D24" s="89"/>
      <c r="E24" s="89"/>
      <c r="F24" s="89"/>
      <c r="G24" s="90"/>
      <c r="H24" s="5"/>
      <c r="I24" s="5"/>
      <c r="J24" s="37"/>
    </row>
    <row r="25" spans="2:10" ht="15.75" thickBot="1" x14ac:dyDescent="0.3">
      <c r="C25" s="88"/>
      <c r="D25" s="91"/>
      <c r="E25" s="91"/>
      <c r="F25" s="91"/>
      <c r="G25" s="135"/>
      <c r="H25" s="5"/>
      <c r="I25" s="5"/>
      <c r="J25" s="37"/>
    </row>
    <row r="26" spans="2:10" x14ac:dyDescent="0.25">
      <c r="E26" s="38"/>
      <c r="I26" s="37"/>
    </row>
  </sheetData>
  <mergeCells count="25">
    <mergeCell ref="B2:I3"/>
    <mergeCell ref="B7:B8"/>
    <mergeCell ref="C7:E8"/>
    <mergeCell ref="F7:F8"/>
    <mergeCell ref="G7:G8"/>
    <mergeCell ref="H7:H8"/>
    <mergeCell ref="B18:E18"/>
    <mergeCell ref="C9:E9"/>
    <mergeCell ref="J9:R9"/>
    <mergeCell ref="C10:E10"/>
    <mergeCell ref="C11:E11"/>
    <mergeCell ref="C12:E12"/>
    <mergeCell ref="C13:E13"/>
    <mergeCell ref="C14:E14"/>
    <mergeCell ref="J14:N14"/>
    <mergeCell ref="B15:E15"/>
    <mergeCell ref="C16:E16"/>
    <mergeCell ref="C17:E17"/>
    <mergeCell ref="C25:G25"/>
    <mergeCell ref="C19:G19"/>
    <mergeCell ref="C20:G20"/>
    <mergeCell ref="C21:G21"/>
    <mergeCell ref="C22:G22"/>
    <mergeCell ref="C23:G23"/>
    <mergeCell ref="C24:G2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40"/>
  <sheetViews>
    <sheetView topLeftCell="A4" workbookViewId="0">
      <selection activeCell="K5" sqref="K5"/>
    </sheetView>
  </sheetViews>
  <sheetFormatPr defaultRowHeight="15" x14ac:dyDescent="0.25"/>
  <cols>
    <col min="2" max="2" width="6" customWidth="1"/>
    <col min="6" max="6" width="9.85546875" bestFit="1" customWidth="1"/>
    <col min="7" max="7" width="12.140625" customWidth="1"/>
    <col min="12" max="17" width="9.140625" customWidth="1"/>
    <col min="258" max="258" width="6" customWidth="1"/>
    <col min="262" max="262" width="9.85546875" bestFit="1" customWidth="1"/>
    <col min="263" max="263" width="12.140625" customWidth="1"/>
    <col min="268" max="273" width="9.140625" customWidth="1"/>
    <col min="514" max="514" width="6" customWidth="1"/>
    <col min="518" max="518" width="9.85546875" bestFit="1" customWidth="1"/>
    <col min="519" max="519" width="12.140625" customWidth="1"/>
    <col min="524" max="529" width="9.140625" customWidth="1"/>
    <col min="770" max="770" width="6" customWidth="1"/>
    <col min="774" max="774" width="9.85546875" bestFit="1" customWidth="1"/>
    <col min="775" max="775" width="12.140625" customWidth="1"/>
    <col min="780" max="785" width="9.140625" customWidth="1"/>
    <col min="1026" max="1026" width="6" customWidth="1"/>
    <col min="1030" max="1030" width="9.85546875" bestFit="1" customWidth="1"/>
    <col min="1031" max="1031" width="12.140625" customWidth="1"/>
    <col min="1036" max="1041" width="9.140625" customWidth="1"/>
    <col min="1282" max="1282" width="6" customWidth="1"/>
    <col min="1286" max="1286" width="9.85546875" bestFit="1" customWidth="1"/>
    <col min="1287" max="1287" width="12.140625" customWidth="1"/>
    <col min="1292" max="1297" width="9.140625" customWidth="1"/>
    <col min="1538" max="1538" width="6" customWidth="1"/>
    <col min="1542" max="1542" width="9.85546875" bestFit="1" customWidth="1"/>
    <col min="1543" max="1543" width="12.140625" customWidth="1"/>
    <col min="1548" max="1553" width="9.140625" customWidth="1"/>
    <col min="1794" max="1794" width="6" customWidth="1"/>
    <col min="1798" max="1798" width="9.85546875" bestFit="1" customWidth="1"/>
    <col min="1799" max="1799" width="12.140625" customWidth="1"/>
    <col min="1804" max="1809" width="9.140625" customWidth="1"/>
    <col min="2050" max="2050" width="6" customWidth="1"/>
    <col min="2054" max="2054" width="9.85546875" bestFit="1" customWidth="1"/>
    <col min="2055" max="2055" width="12.140625" customWidth="1"/>
    <col min="2060" max="2065" width="9.140625" customWidth="1"/>
    <col min="2306" max="2306" width="6" customWidth="1"/>
    <col min="2310" max="2310" width="9.85546875" bestFit="1" customWidth="1"/>
    <col min="2311" max="2311" width="12.140625" customWidth="1"/>
    <col min="2316" max="2321" width="9.140625" customWidth="1"/>
    <col min="2562" max="2562" width="6" customWidth="1"/>
    <col min="2566" max="2566" width="9.85546875" bestFit="1" customWidth="1"/>
    <col min="2567" max="2567" width="12.140625" customWidth="1"/>
    <col min="2572" max="2577" width="9.140625" customWidth="1"/>
    <col min="2818" max="2818" width="6" customWidth="1"/>
    <col min="2822" max="2822" width="9.85546875" bestFit="1" customWidth="1"/>
    <col min="2823" max="2823" width="12.140625" customWidth="1"/>
    <col min="2828" max="2833" width="9.140625" customWidth="1"/>
    <col min="3074" max="3074" width="6" customWidth="1"/>
    <col min="3078" max="3078" width="9.85546875" bestFit="1" customWidth="1"/>
    <col min="3079" max="3079" width="12.140625" customWidth="1"/>
    <col min="3084" max="3089" width="9.140625" customWidth="1"/>
    <col min="3330" max="3330" width="6" customWidth="1"/>
    <col min="3334" max="3334" width="9.85546875" bestFit="1" customWidth="1"/>
    <col min="3335" max="3335" width="12.140625" customWidth="1"/>
    <col min="3340" max="3345" width="9.140625" customWidth="1"/>
    <col min="3586" max="3586" width="6" customWidth="1"/>
    <col min="3590" max="3590" width="9.85546875" bestFit="1" customWidth="1"/>
    <col min="3591" max="3591" width="12.140625" customWidth="1"/>
    <col min="3596" max="3601" width="9.140625" customWidth="1"/>
    <col min="3842" max="3842" width="6" customWidth="1"/>
    <col min="3846" max="3846" width="9.85546875" bestFit="1" customWidth="1"/>
    <col min="3847" max="3847" width="12.140625" customWidth="1"/>
    <col min="3852" max="3857" width="9.140625" customWidth="1"/>
    <col min="4098" max="4098" width="6" customWidth="1"/>
    <col min="4102" max="4102" width="9.85546875" bestFit="1" customWidth="1"/>
    <col min="4103" max="4103" width="12.140625" customWidth="1"/>
    <col min="4108" max="4113" width="9.140625" customWidth="1"/>
    <col min="4354" max="4354" width="6" customWidth="1"/>
    <col min="4358" max="4358" width="9.85546875" bestFit="1" customWidth="1"/>
    <col min="4359" max="4359" width="12.140625" customWidth="1"/>
    <col min="4364" max="4369" width="9.140625" customWidth="1"/>
    <col min="4610" max="4610" width="6" customWidth="1"/>
    <col min="4614" max="4614" width="9.85546875" bestFit="1" customWidth="1"/>
    <col min="4615" max="4615" width="12.140625" customWidth="1"/>
    <col min="4620" max="4625" width="9.140625" customWidth="1"/>
    <col min="4866" max="4866" width="6" customWidth="1"/>
    <col min="4870" max="4870" width="9.85546875" bestFit="1" customWidth="1"/>
    <col min="4871" max="4871" width="12.140625" customWidth="1"/>
    <col min="4876" max="4881" width="9.140625" customWidth="1"/>
    <col min="5122" max="5122" width="6" customWidth="1"/>
    <col min="5126" max="5126" width="9.85546875" bestFit="1" customWidth="1"/>
    <col min="5127" max="5127" width="12.140625" customWidth="1"/>
    <col min="5132" max="5137" width="9.140625" customWidth="1"/>
    <col min="5378" max="5378" width="6" customWidth="1"/>
    <col min="5382" max="5382" width="9.85546875" bestFit="1" customWidth="1"/>
    <col min="5383" max="5383" width="12.140625" customWidth="1"/>
    <col min="5388" max="5393" width="9.140625" customWidth="1"/>
    <col min="5634" max="5634" width="6" customWidth="1"/>
    <col min="5638" max="5638" width="9.85546875" bestFit="1" customWidth="1"/>
    <col min="5639" max="5639" width="12.140625" customWidth="1"/>
    <col min="5644" max="5649" width="9.140625" customWidth="1"/>
    <col min="5890" max="5890" width="6" customWidth="1"/>
    <col min="5894" max="5894" width="9.85546875" bestFit="1" customWidth="1"/>
    <col min="5895" max="5895" width="12.140625" customWidth="1"/>
    <col min="5900" max="5905" width="9.140625" customWidth="1"/>
    <col min="6146" max="6146" width="6" customWidth="1"/>
    <col min="6150" max="6150" width="9.85546875" bestFit="1" customWidth="1"/>
    <col min="6151" max="6151" width="12.140625" customWidth="1"/>
    <col min="6156" max="6161" width="9.140625" customWidth="1"/>
    <col min="6402" max="6402" width="6" customWidth="1"/>
    <col min="6406" max="6406" width="9.85546875" bestFit="1" customWidth="1"/>
    <col min="6407" max="6407" width="12.140625" customWidth="1"/>
    <col min="6412" max="6417" width="9.140625" customWidth="1"/>
    <col min="6658" max="6658" width="6" customWidth="1"/>
    <col min="6662" max="6662" width="9.85546875" bestFit="1" customWidth="1"/>
    <col min="6663" max="6663" width="12.140625" customWidth="1"/>
    <col min="6668" max="6673" width="9.140625" customWidth="1"/>
    <col min="6914" max="6914" width="6" customWidth="1"/>
    <col min="6918" max="6918" width="9.85546875" bestFit="1" customWidth="1"/>
    <col min="6919" max="6919" width="12.140625" customWidth="1"/>
    <col min="6924" max="6929" width="9.140625" customWidth="1"/>
    <col min="7170" max="7170" width="6" customWidth="1"/>
    <col min="7174" max="7174" width="9.85546875" bestFit="1" customWidth="1"/>
    <col min="7175" max="7175" width="12.140625" customWidth="1"/>
    <col min="7180" max="7185" width="9.140625" customWidth="1"/>
    <col min="7426" max="7426" width="6" customWidth="1"/>
    <col min="7430" max="7430" width="9.85546875" bestFit="1" customWidth="1"/>
    <col min="7431" max="7431" width="12.140625" customWidth="1"/>
    <col min="7436" max="7441" width="9.140625" customWidth="1"/>
    <col min="7682" max="7682" width="6" customWidth="1"/>
    <col min="7686" max="7686" width="9.85546875" bestFit="1" customWidth="1"/>
    <col min="7687" max="7687" width="12.140625" customWidth="1"/>
    <col min="7692" max="7697" width="9.140625" customWidth="1"/>
    <col min="7938" max="7938" width="6" customWidth="1"/>
    <col min="7942" max="7942" width="9.85546875" bestFit="1" customWidth="1"/>
    <col min="7943" max="7943" width="12.140625" customWidth="1"/>
    <col min="7948" max="7953" width="9.140625" customWidth="1"/>
    <col min="8194" max="8194" width="6" customWidth="1"/>
    <col min="8198" max="8198" width="9.85546875" bestFit="1" customWidth="1"/>
    <col min="8199" max="8199" width="12.140625" customWidth="1"/>
    <col min="8204" max="8209" width="9.140625" customWidth="1"/>
    <col min="8450" max="8450" width="6" customWidth="1"/>
    <col min="8454" max="8454" width="9.85546875" bestFit="1" customWidth="1"/>
    <col min="8455" max="8455" width="12.140625" customWidth="1"/>
    <col min="8460" max="8465" width="9.140625" customWidth="1"/>
    <col min="8706" max="8706" width="6" customWidth="1"/>
    <col min="8710" max="8710" width="9.85546875" bestFit="1" customWidth="1"/>
    <col min="8711" max="8711" width="12.140625" customWidth="1"/>
    <col min="8716" max="8721" width="9.140625" customWidth="1"/>
    <col min="8962" max="8962" width="6" customWidth="1"/>
    <col min="8966" max="8966" width="9.85546875" bestFit="1" customWidth="1"/>
    <col min="8967" max="8967" width="12.140625" customWidth="1"/>
    <col min="8972" max="8977" width="9.140625" customWidth="1"/>
    <col min="9218" max="9218" width="6" customWidth="1"/>
    <col min="9222" max="9222" width="9.85546875" bestFit="1" customWidth="1"/>
    <col min="9223" max="9223" width="12.140625" customWidth="1"/>
    <col min="9228" max="9233" width="9.140625" customWidth="1"/>
    <col min="9474" max="9474" width="6" customWidth="1"/>
    <col min="9478" max="9478" width="9.85546875" bestFit="1" customWidth="1"/>
    <col min="9479" max="9479" width="12.140625" customWidth="1"/>
    <col min="9484" max="9489" width="9.140625" customWidth="1"/>
    <col min="9730" max="9730" width="6" customWidth="1"/>
    <col min="9734" max="9734" width="9.85546875" bestFit="1" customWidth="1"/>
    <col min="9735" max="9735" width="12.140625" customWidth="1"/>
    <col min="9740" max="9745" width="9.140625" customWidth="1"/>
    <col min="9986" max="9986" width="6" customWidth="1"/>
    <col min="9990" max="9990" width="9.85546875" bestFit="1" customWidth="1"/>
    <col min="9991" max="9991" width="12.140625" customWidth="1"/>
    <col min="9996" max="10001" width="9.140625" customWidth="1"/>
    <col min="10242" max="10242" width="6" customWidth="1"/>
    <col min="10246" max="10246" width="9.85546875" bestFit="1" customWidth="1"/>
    <col min="10247" max="10247" width="12.140625" customWidth="1"/>
    <col min="10252" max="10257" width="9.140625" customWidth="1"/>
    <col min="10498" max="10498" width="6" customWidth="1"/>
    <col min="10502" max="10502" width="9.85546875" bestFit="1" customWidth="1"/>
    <col min="10503" max="10503" width="12.140625" customWidth="1"/>
    <col min="10508" max="10513" width="9.140625" customWidth="1"/>
    <col min="10754" max="10754" width="6" customWidth="1"/>
    <col min="10758" max="10758" width="9.85546875" bestFit="1" customWidth="1"/>
    <col min="10759" max="10759" width="12.140625" customWidth="1"/>
    <col min="10764" max="10769" width="9.140625" customWidth="1"/>
    <col min="11010" max="11010" width="6" customWidth="1"/>
    <col min="11014" max="11014" width="9.85546875" bestFit="1" customWidth="1"/>
    <col min="11015" max="11015" width="12.140625" customWidth="1"/>
    <col min="11020" max="11025" width="9.140625" customWidth="1"/>
    <col min="11266" max="11266" width="6" customWidth="1"/>
    <col min="11270" max="11270" width="9.85546875" bestFit="1" customWidth="1"/>
    <col min="11271" max="11271" width="12.140625" customWidth="1"/>
    <col min="11276" max="11281" width="9.140625" customWidth="1"/>
    <col min="11522" max="11522" width="6" customWidth="1"/>
    <col min="11526" max="11526" width="9.85546875" bestFit="1" customWidth="1"/>
    <col min="11527" max="11527" width="12.140625" customWidth="1"/>
    <col min="11532" max="11537" width="9.140625" customWidth="1"/>
    <col min="11778" max="11778" width="6" customWidth="1"/>
    <col min="11782" max="11782" width="9.85546875" bestFit="1" customWidth="1"/>
    <col min="11783" max="11783" width="12.140625" customWidth="1"/>
    <col min="11788" max="11793" width="9.140625" customWidth="1"/>
    <col min="12034" max="12034" width="6" customWidth="1"/>
    <col min="12038" max="12038" width="9.85546875" bestFit="1" customWidth="1"/>
    <col min="12039" max="12039" width="12.140625" customWidth="1"/>
    <col min="12044" max="12049" width="9.140625" customWidth="1"/>
    <col min="12290" max="12290" width="6" customWidth="1"/>
    <col min="12294" max="12294" width="9.85546875" bestFit="1" customWidth="1"/>
    <col min="12295" max="12295" width="12.140625" customWidth="1"/>
    <col min="12300" max="12305" width="9.140625" customWidth="1"/>
    <col min="12546" max="12546" width="6" customWidth="1"/>
    <col min="12550" max="12550" width="9.85546875" bestFit="1" customWidth="1"/>
    <col min="12551" max="12551" width="12.140625" customWidth="1"/>
    <col min="12556" max="12561" width="9.140625" customWidth="1"/>
    <col min="12802" max="12802" width="6" customWidth="1"/>
    <col min="12806" max="12806" width="9.85546875" bestFit="1" customWidth="1"/>
    <col min="12807" max="12807" width="12.140625" customWidth="1"/>
    <col min="12812" max="12817" width="9.140625" customWidth="1"/>
    <col min="13058" max="13058" width="6" customWidth="1"/>
    <col min="13062" max="13062" width="9.85546875" bestFit="1" customWidth="1"/>
    <col min="13063" max="13063" width="12.140625" customWidth="1"/>
    <col min="13068" max="13073" width="9.140625" customWidth="1"/>
    <col min="13314" max="13314" width="6" customWidth="1"/>
    <col min="13318" max="13318" width="9.85546875" bestFit="1" customWidth="1"/>
    <col min="13319" max="13319" width="12.140625" customWidth="1"/>
    <col min="13324" max="13329" width="9.140625" customWidth="1"/>
    <col min="13570" max="13570" width="6" customWidth="1"/>
    <col min="13574" max="13574" width="9.85546875" bestFit="1" customWidth="1"/>
    <col min="13575" max="13575" width="12.140625" customWidth="1"/>
    <col min="13580" max="13585" width="9.140625" customWidth="1"/>
    <col min="13826" max="13826" width="6" customWidth="1"/>
    <col min="13830" max="13830" width="9.85546875" bestFit="1" customWidth="1"/>
    <col min="13831" max="13831" width="12.140625" customWidth="1"/>
    <col min="13836" max="13841" width="9.140625" customWidth="1"/>
    <col min="14082" max="14082" width="6" customWidth="1"/>
    <col min="14086" max="14086" width="9.85546875" bestFit="1" customWidth="1"/>
    <col min="14087" max="14087" width="12.140625" customWidth="1"/>
    <col min="14092" max="14097" width="9.140625" customWidth="1"/>
    <col min="14338" max="14338" width="6" customWidth="1"/>
    <col min="14342" max="14342" width="9.85546875" bestFit="1" customWidth="1"/>
    <col min="14343" max="14343" width="12.140625" customWidth="1"/>
    <col min="14348" max="14353" width="9.140625" customWidth="1"/>
    <col min="14594" max="14594" width="6" customWidth="1"/>
    <col min="14598" max="14598" width="9.85546875" bestFit="1" customWidth="1"/>
    <col min="14599" max="14599" width="12.140625" customWidth="1"/>
    <col min="14604" max="14609" width="9.140625" customWidth="1"/>
    <col min="14850" max="14850" width="6" customWidth="1"/>
    <col min="14854" max="14854" width="9.85546875" bestFit="1" customWidth="1"/>
    <col min="14855" max="14855" width="12.140625" customWidth="1"/>
    <col min="14860" max="14865" width="9.140625" customWidth="1"/>
    <col min="15106" max="15106" width="6" customWidth="1"/>
    <col min="15110" max="15110" width="9.85546875" bestFit="1" customWidth="1"/>
    <col min="15111" max="15111" width="12.140625" customWidth="1"/>
    <col min="15116" max="15121" width="9.140625" customWidth="1"/>
    <col min="15362" max="15362" width="6" customWidth="1"/>
    <col min="15366" max="15366" width="9.85546875" bestFit="1" customWidth="1"/>
    <col min="15367" max="15367" width="12.140625" customWidth="1"/>
    <col min="15372" max="15377" width="9.140625" customWidth="1"/>
    <col min="15618" max="15618" width="6" customWidth="1"/>
    <col min="15622" max="15622" width="9.85546875" bestFit="1" customWidth="1"/>
    <col min="15623" max="15623" width="12.140625" customWidth="1"/>
    <col min="15628" max="15633" width="9.140625" customWidth="1"/>
    <col min="15874" max="15874" width="6" customWidth="1"/>
    <col min="15878" max="15878" width="9.85546875" bestFit="1" customWidth="1"/>
    <col min="15879" max="15879" width="12.140625" customWidth="1"/>
    <col min="15884" max="15889" width="9.140625" customWidth="1"/>
    <col min="16130" max="16130" width="6" customWidth="1"/>
    <col min="16134" max="16134" width="9.85546875" bestFit="1" customWidth="1"/>
    <col min="16135" max="16135" width="12.140625" customWidth="1"/>
    <col min="16140" max="16145" width="9.140625" customWidth="1"/>
  </cols>
  <sheetData>
    <row r="1" spans="2:17" ht="15.75" thickBot="1" x14ac:dyDescent="0.3"/>
    <row r="2" spans="2:17" x14ac:dyDescent="0.25">
      <c r="B2" s="115" t="s">
        <v>75</v>
      </c>
      <c r="C2" s="116"/>
      <c r="D2" s="116"/>
      <c r="E2" s="116"/>
      <c r="F2" s="116"/>
      <c r="G2" s="116"/>
      <c r="H2" s="116"/>
      <c r="I2" s="117"/>
    </row>
    <row r="3" spans="2:17" ht="15.75" thickBot="1" x14ac:dyDescent="0.3">
      <c r="B3" s="118"/>
      <c r="C3" s="119"/>
      <c r="D3" s="119"/>
      <c r="E3" s="119"/>
      <c r="F3" s="119"/>
      <c r="G3" s="119"/>
      <c r="H3" s="119"/>
      <c r="I3" s="120"/>
    </row>
    <row r="6" spans="2:17" ht="15.75" thickBot="1" x14ac:dyDescent="0.3"/>
    <row r="7" spans="2:17" x14ac:dyDescent="0.25">
      <c r="B7" s="121" t="s">
        <v>0</v>
      </c>
      <c r="C7" s="123" t="s">
        <v>1</v>
      </c>
      <c r="D7" s="124"/>
      <c r="E7" s="125"/>
      <c r="F7" s="121" t="s">
        <v>2</v>
      </c>
      <c r="G7" s="129" t="s">
        <v>3</v>
      </c>
      <c r="H7" s="129" t="s">
        <v>29</v>
      </c>
    </row>
    <row r="8" spans="2:17" ht="31.5" customHeight="1" thickBot="1" x14ac:dyDescent="0.3">
      <c r="B8" s="122"/>
      <c r="C8" s="126"/>
      <c r="D8" s="127"/>
      <c r="E8" s="128"/>
      <c r="F8" s="122"/>
      <c r="G8" s="130"/>
      <c r="H8" s="130"/>
    </row>
    <row r="9" spans="2:17" ht="15.75" thickBot="1" x14ac:dyDescent="0.3">
      <c r="B9" s="3">
        <v>1</v>
      </c>
      <c r="C9" s="100" t="s">
        <v>30</v>
      </c>
      <c r="D9" s="101"/>
      <c r="E9" s="102"/>
      <c r="F9" s="4">
        <v>250</v>
      </c>
      <c r="G9" s="5">
        <v>4.12</v>
      </c>
      <c r="H9" s="5">
        <f>+F9*G9</f>
        <v>1030</v>
      </c>
      <c r="I9" s="111" t="s">
        <v>31</v>
      </c>
      <c r="J9" s="112"/>
      <c r="K9" s="112"/>
      <c r="L9" s="112"/>
      <c r="M9" s="112"/>
      <c r="N9" s="112"/>
      <c r="O9" s="112"/>
      <c r="P9" s="112"/>
      <c r="Q9" s="112"/>
    </row>
    <row r="10" spans="2:17" ht="15.75" thickBot="1" x14ac:dyDescent="0.3">
      <c r="B10" s="3">
        <v>2</v>
      </c>
      <c r="C10" s="100" t="s">
        <v>32</v>
      </c>
      <c r="D10" s="101"/>
      <c r="E10" s="102"/>
      <c r="F10" s="4">
        <v>200</v>
      </c>
      <c r="G10" s="5">
        <v>0.17</v>
      </c>
      <c r="H10" s="5">
        <f t="shared" ref="H10:H16" si="0">+F10*G10</f>
        <v>34</v>
      </c>
    </row>
    <row r="11" spans="2:17" ht="15.75" thickBot="1" x14ac:dyDescent="0.3">
      <c r="B11" s="3">
        <v>3</v>
      </c>
      <c r="C11" s="100" t="s">
        <v>33</v>
      </c>
      <c r="D11" s="101"/>
      <c r="E11" s="102"/>
      <c r="F11" s="4">
        <v>38</v>
      </c>
      <c r="G11" s="5">
        <v>0.17</v>
      </c>
      <c r="H11" s="5">
        <f t="shared" si="0"/>
        <v>6.4600000000000009</v>
      </c>
    </row>
    <row r="12" spans="2:17" ht="15.75" thickBot="1" x14ac:dyDescent="0.3">
      <c r="B12" s="3">
        <v>4</v>
      </c>
      <c r="C12" s="100" t="s">
        <v>34</v>
      </c>
      <c r="D12" s="101"/>
      <c r="E12" s="102"/>
      <c r="F12" s="4">
        <v>238</v>
      </c>
      <c r="G12" s="5">
        <f>1.55/1.95583</f>
        <v>0.79250241585413872</v>
      </c>
      <c r="H12" s="5">
        <f t="shared" si="0"/>
        <v>188.61557497328502</v>
      </c>
    </row>
    <row r="13" spans="2:17" ht="15.75" thickBot="1" x14ac:dyDescent="0.3">
      <c r="B13" s="3">
        <v>5</v>
      </c>
      <c r="C13" s="100" t="s">
        <v>12</v>
      </c>
      <c r="D13" s="101"/>
      <c r="E13" s="102"/>
      <c r="F13" s="4">
        <v>6</v>
      </c>
      <c r="G13" s="5">
        <v>6.23</v>
      </c>
      <c r="H13" s="5">
        <f t="shared" si="0"/>
        <v>37.380000000000003</v>
      </c>
    </row>
    <row r="14" spans="2:17" ht="15.75" thickBot="1" x14ac:dyDescent="0.3">
      <c r="B14" s="3">
        <v>6</v>
      </c>
      <c r="C14" s="100" t="s">
        <v>13</v>
      </c>
      <c r="D14" s="101"/>
      <c r="E14" s="102"/>
      <c r="F14" s="4">
        <v>250</v>
      </c>
      <c r="G14" s="5">
        <v>0.15</v>
      </c>
      <c r="H14" s="5">
        <f>+F14*G14</f>
        <v>37.5</v>
      </c>
    </row>
    <row r="15" spans="2:17" ht="15.75" thickBot="1" x14ac:dyDescent="0.3">
      <c r="B15" s="3">
        <v>7</v>
      </c>
      <c r="C15" s="100" t="s">
        <v>35</v>
      </c>
      <c r="D15" s="101"/>
      <c r="E15" s="102"/>
      <c r="F15" s="4">
        <v>40</v>
      </c>
      <c r="G15" s="5">
        <v>0.17</v>
      </c>
      <c r="H15" s="5">
        <f>+F15*G15</f>
        <v>6.8000000000000007</v>
      </c>
    </row>
    <row r="16" spans="2:17" ht="15.75" thickBot="1" x14ac:dyDescent="0.3">
      <c r="B16" s="3">
        <v>8</v>
      </c>
      <c r="C16" s="100" t="s">
        <v>15</v>
      </c>
      <c r="D16" s="101"/>
      <c r="E16" s="102"/>
      <c r="F16" s="4">
        <v>80</v>
      </c>
      <c r="G16" s="5">
        <v>3.56</v>
      </c>
      <c r="H16" s="5">
        <f t="shared" si="0"/>
        <v>284.8</v>
      </c>
      <c r="I16" s="111" t="s">
        <v>16</v>
      </c>
      <c r="J16" s="112"/>
      <c r="K16" s="112"/>
      <c r="L16" s="112"/>
      <c r="M16" s="112"/>
    </row>
    <row r="17" spans="2:8" ht="15.75" thickBot="1" x14ac:dyDescent="0.3">
      <c r="B17" s="103" t="s">
        <v>17</v>
      </c>
      <c r="C17" s="104"/>
      <c r="D17" s="104"/>
      <c r="E17" s="105"/>
      <c r="F17" s="7">
        <f>SUM(F9:F16)</f>
        <v>1102</v>
      </c>
      <c r="G17" s="8"/>
      <c r="H17" s="34">
        <f>SUM(H9:H16)</f>
        <v>1625.555574973285</v>
      </c>
    </row>
    <row r="18" spans="2:8" ht="15.75" thickBot="1" x14ac:dyDescent="0.3">
      <c r="B18" s="3">
        <v>1</v>
      </c>
      <c r="C18" s="100" t="s">
        <v>18</v>
      </c>
      <c r="D18" s="101"/>
      <c r="E18" s="102"/>
      <c r="F18" s="6">
        <v>42</v>
      </c>
      <c r="G18" s="5">
        <v>2.98</v>
      </c>
      <c r="H18" s="5">
        <f>+F18*G18</f>
        <v>125.16</v>
      </c>
    </row>
    <row r="19" spans="2:8" ht="15.75" thickBot="1" x14ac:dyDescent="0.3">
      <c r="B19" s="11">
        <v>2</v>
      </c>
      <c r="C19" s="100" t="s">
        <v>19</v>
      </c>
      <c r="D19" s="101"/>
      <c r="E19" s="102"/>
      <c r="F19" s="12">
        <v>42</v>
      </c>
      <c r="G19" s="13">
        <v>0.18</v>
      </c>
      <c r="H19" s="13">
        <f>+F19*G19</f>
        <v>7.56</v>
      </c>
    </row>
    <row r="20" spans="2:8" ht="15.75" thickBot="1" x14ac:dyDescent="0.3">
      <c r="B20" s="103" t="s">
        <v>17</v>
      </c>
      <c r="C20" s="104"/>
      <c r="D20" s="104"/>
      <c r="E20" s="105"/>
      <c r="F20" s="8"/>
      <c r="G20" s="8"/>
      <c r="H20" s="39">
        <f>SUM(H18:H19)</f>
        <v>132.72</v>
      </c>
    </row>
    <row r="21" spans="2:8" ht="15.75" thickBot="1" x14ac:dyDescent="0.3">
      <c r="C21" s="97" t="s">
        <v>73</v>
      </c>
      <c r="D21" s="133"/>
      <c r="E21" s="133"/>
      <c r="F21" s="133"/>
      <c r="G21" s="134"/>
      <c r="H21" s="15">
        <f>SUM(H20,H17)</f>
        <v>1758.2755749732851</v>
      </c>
    </row>
    <row r="22" spans="2:8" ht="15.75" thickBot="1" x14ac:dyDescent="0.3">
      <c r="C22" s="108" t="s">
        <v>36</v>
      </c>
      <c r="D22" s="109"/>
      <c r="E22" s="109"/>
      <c r="F22" s="109"/>
      <c r="G22" s="110"/>
      <c r="H22" s="5">
        <f>H21*20/100</f>
        <v>351.65511499465703</v>
      </c>
    </row>
    <row r="23" spans="2:8" ht="15.75" thickBot="1" x14ac:dyDescent="0.3">
      <c r="C23" s="97" t="s">
        <v>21</v>
      </c>
      <c r="D23" s="98"/>
      <c r="E23" s="98"/>
      <c r="F23" s="98"/>
      <c r="G23" s="99"/>
      <c r="H23" s="16">
        <f>SUM(H21:H22)</f>
        <v>2109.9306899679423</v>
      </c>
    </row>
    <row r="24" spans="2:8" ht="15.75" thickBot="1" x14ac:dyDescent="0.3">
      <c r="C24" s="136" t="s">
        <v>74</v>
      </c>
      <c r="D24" s="137"/>
      <c r="E24" s="137"/>
      <c r="F24" s="137"/>
      <c r="G24" s="138"/>
      <c r="H24" s="36">
        <f>+H23/1092</f>
        <v>1.9321709615091047</v>
      </c>
    </row>
    <row r="25" spans="2:8" ht="15.75" thickBot="1" x14ac:dyDescent="0.3">
      <c r="C25" s="147"/>
      <c r="D25" s="148"/>
      <c r="E25" s="148"/>
      <c r="F25" s="148"/>
      <c r="G25" s="149"/>
      <c r="H25" s="5"/>
    </row>
    <row r="26" spans="2:8" ht="15.75" thickBot="1" x14ac:dyDescent="0.3">
      <c r="C26" s="88"/>
      <c r="D26" s="89"/>
      <c r="E26" s="89"/>
      <c r="F26" s="89"/>
      <c r="G26" s="90"/>
      <c r="H26" s="40"/>
    </row>
    <row r="27" spans="2:8" ht="15.75" thickBot="1" x14ac:dyDescent="0.3">
      <c r="C27" s="88"/>
      <c r="D27" s="91"/>
      <c r="E27" s="91"/>
      <c r="F27" s="91"/>
      <c r="G27" s="91"/>
      <c r="H27" s="5"/>
    </row>
    <row r="30" spans="2:8" x14ac:dyDescent="0.25">
      <c r="C30" s="38"/>
      <c r="H30">
        <f>I21*25000</f>
        <v>0</v>
      </c>
    </row>
    <row r="31" spans="2:8" x14ac:dyDescent="0.25">
      <c r="C31" s="38"/>
    </row>
    <row r="32" spans="2:8" x14ac:dyDescent="0.25">
      <c r="C32" s="38"/>
    </row>
    <row r="33" spans="3:9" x14ac:dyDescent="0.25">
      <c r="C33" s="38"/>
    </row>
    <row r="34" spans="3:9" x14ac:dyDescent="0.25">
      <c r="C34" s="41"/>
      <c r="D34" s="42"/>
      <c r="E34" s="42"/>
      <c r="F34" s="42"/>
      <c r="G34" s="42"/>
      <c r="H34" s="42"/>
      <c r="I34" s="43"/>
    </row>
    <row r="35" spans="3:9" x14ac:dyDescent="0.25">
      <c r="C35" s="44"/>
      <c r="D35" s="24"/>
      <c r="E35" s="24"/>
      <c r="F35" s="24"/>
      <c r="G35" s="24"/>
      <c r="H35" s="24"/>
      <c r="I35" s="45"/>
    </row>
    <row r="36" spans="3:9" x14ac:dyDescent="0.25">
      <c r="C36" s="44"/>
      <c r="D36" s="24"/>
      <c r="E36" s="24"/>
      <c r="F36" s="24"/>
      <c r="G36" s="24"/>
      <c r="H36" s="46"/>
      <c r="I36" s="45"/>
    </row>
    <row r="37" spans="3:9" x14ac:dyDescent="0.25">
      <c r="C37" s="47"/>
      <c r="D37" s="48"/>
      <c r="E37" s="48"/>
      <c r="F37" s="48"/>
      <c r="G37" s="48"/>
      <c r="H37" s="48"/>
      <c r="I37" s="49"/>
    </row>
    <row r="40" spans="3:9" x14ac:dyDescent="0.25">
      <c r="C40" s="50"/>
    </row>
  </sheetData>
  <mergeCells count="27">
    <mergeCell ref="B2:I3"/>
    <mergeCell ref="B7:B8"/>
    <mergeCell ref="C7:E8"/>
    <mergeCell ref="F7:F8"/>
    <mergeCell ref="G7:G8"/>
    <mergeCell ref="H7:H8"/>
    <mergeCell ref="C18:E18"/>
    <mergeCell ref="C9:E9"/>
    <mergeCell ref="I9:Q9"/>
    <mergeCell ref="C10:E10"/>
    <mergeCell ref="C11:E11"/>
    <mergeCell ref="C12:E12"/>
    <mergeCell ref="C13:E13"/>
    <mergeCell ref="C14:E14"/>
    <mergeCell ref="C15:E15"/>
    <mergeCell ref="C16:E16"/>
    <mergeCell ref="I16:M16"/>
    <mergeCell ref="B17:E17"/>
    <mergeCell ref="C25:G25"/>
    <mergeCell ref="C26:G26"/>
    <mergeCell ref="C27:G27"/>
    <mergeCell ref="C19:E19"/>
    <mergeCell ref="B20:E20"/>
    <mergeCell ref="C21:G21"/>
    <mergeCell ref="C22:G22"/>
    <mergeCell ref="C23:G23"/>
    <mergeCell ref="C24:G2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21"/>
  <sheetViews>
    <sheetView workbookViewId="0">
      <selection activeCell="B2" sqref="B2:I3"/>
    </sheetView>
  </sheetViews>
  <sheetFormatPr defaultRowHeight="15" x14ac:dyDescent="0.25"/>
  <cols>
    <col min="1" max="1" width="4" customWidth="1"/>
    <col min="2" max="2" width="6" customWidth="1"/>
    <col min="6" max="6" width="9.85546875" bestFit="1" customWidth="1"/>
    <col min="7" max="7" width="15" customWidth="1"/>
    <col min="9" max="9" width="11.140625" customWidth="1"/>
    <col min="257" max="257" width="4" customWidth="1"/>
    <col min="258" max="258" width="6" customWidth="1"/>
    <col min="262" max="262" width="9.85546875" bestFit="1" customWidth="1"/>
    <col min="263" max="263" width="15" customWidth="1"/>
    <col min="265" max="265" width="11.140625" customWidth="1"/>
    <col min="513" max="513" width="4" customWidth="1"/>
    <col min="514" max="514" width="6" customWidth="1"/>
    <col min="518" max="518" width="9.85546875" bestFit="1" customWidth="1"/>
    <col min="519" max="519" width="15" customWidth="1"/>
    <col min="521" max="521" width="11.140625" customWidth="1"/>
    <col min="769" max="769" width="4" customWidth="1"/>
    <col min="770" max="770" width="6" customWidth="1"/>
    <col min="774" max="774" width="9.85546875" bestFit="1" customWidth="1"/>
    <col min="775" max="775" width="15" customWidth="1"/>
    <col min="777" max="777" width="11.140625" customWidth="1"/>
    <col min="1025" max="1025" width="4" customWidth="1"/>
    <col min="1026" max="1026" width="6" customWidth="1"/>
    <col min="1030" max="1030" width="9.85546875" bestFit="1" customWidth="1"/>
    <col min="1031" max="1031" width="15" customWidth="1"/>
    <col min="1033" max="1033" width="11.140625" customWidth="1"/>
    <col min="1281" max="1281" width="4" customWidth="1"/>
    <col min="1282" max="1282" width="6" customWidth="1"/>
    <col min="1286" max="1286" width="9.85546875" bestFit="1" customWidth="1"/>
    <col min="1287" max="1287" width="15" customWidth="1"/>
    <col min="1289" max="1289" width="11.140625" customWidth="1"/>
    <col min="1537" max="1537" width="4" customWidth="1"/>
    <col min="1538" max="1538" width="6" customWidth="1"/>
    <col min="1542" max="1542" width="9.85546875" bestFit="1" customWidth="1"/>
    <col min="1543" max="1543" width="15" customWidth="1"/>
    <col min="1545" max="1545" width="11.140625" customWidth="1"/>
    <col min="1793" max="1793" width="4" customWidth="1"/>
    <col min="1794" max="1794" width="6" customWidth="1"/>
    <col min="1798" max="1798" width="9.85546875" bestFit="1" customWidth="1"/>
    <col min="1799" max="1799" width="15" customWidth="1"/>
    <col min="1801" max="1801" width="11.140625" customWidth="1"/>
    <col min="2049" max="2049" width="4" customWidth="1"/>
    <col min="2050" max="2050" width="6" customWidth="1"/>
    <col min="2054" max="2054" width="9.85546875" bestFit="1" customWidth="1"/>
    <col min="2055" max="2055" width="15" customWidth="1"/>
    <col min="2057" max="2057" width="11.140625" customWidth="1"/>
    <col min="2305" max="2305" width="4" customWidth="1"/>
    <col min="2306" max="2306" width="6" customWidth="1"/>
    <col min="2310" max="2310" width="9.85546875" bestFit="1" customWidth="1"/>
    <col min="2311" max="2311" width="15" customWidth="1"/>
    <col min="2313" max="2313" width="11.140625" customWidth="1"/>
    <col min="2561" max="2561" width="4" customWidth="1"/>
    <col min="2562" max="2562" width="6" customWidth="1"/>
    <col min="2566" max="2566" width="9.85546875" bestFit="1" customWidth="1"/>
    <col min="2567" max="2567" width="15" customWidth="1"/>
    <col min="2569" max="2569" width="11.140625" customWidth="1"/>
    <col min="2817" max="2817" width="4" customWidth="1"/>
    <col min="2818" max="2818" width="6" customWidth="1"/>
    <col min="2822" max="2822" width="9.85546875" bestFit="1" customWidth="1"/>
    <col min="2823" max="2823" width="15" customWidth="1"/>
    <col min="2825" max="2825" width="11.140625" customWidth="1"/>
    <col min="3073" max="3073" width="4" customWidth="1"/>
    <col min="3074" max="3074" width="6" customWidth="1"/>
    <col min="3078" max="3078" width="9.85546875" bestFit="1" customWidth="1"/>
    <col min="3079" max="3079" width="15" customWidth="1"/>
    <col min="3081" max="3081" width="11.140625" customWidth="1"/>
    <col min="3329" max="3329" width="4" customWidth="1"/>
    <col min="3330" max="3330" width="6" customWidth="1"/>
    <col min="3334" max="3334" width="9.85546875" bestFit="1" customWidth="1"/>
    <col min="3335" max="3335" width="15" customWidth="1"/>
    <col min="3337" max="3337" width="11.140625" customWidth="1"/>
    <col min="3585" max="3585" width="4" customWidth="1"/>
    <col min="3586" max="3586" width="6" customWidth="1"/>
    <col min="3590" max="3590" width="9.85546875" bestFit="1" customWidth="1"/>
    <col min="3591" max="3591" width="15" customWidth="1"/>
    <col min="3593" max="3593" width="11.140625" customWidth="1"/>
    <col min="3841" max="3841" width="4" customWidth="1"/>
    <col min="3842" max="3842" width="6" customWidth="1"/>
    <col min="3846" max="3846" width="9.85546875" bestFit="1" customWidth="1"/>
    <col min="3847" max="3847" width="15" customWidth="1"/>
    <col min="3849" max="3849" width="11.140625" customWidth="1"/>
    <col min="4097" max="4097" width="4" customWidth="1"/>
    <col min="4098" max="4098" width="6" customWidth="1"/>
    <col min="4102" max="4102" width="9.85546875" bestFit="1" customWidth="1"/>
    <col min="4103" max="4103" width="15" customWidth="1"/>
    <col min="4105" max="4105" width="11.140625" customWidth="1"/>
    <col min="4353" max="4353" width="4" customWidth="1"/>
    <col min="4354" max="4354" width="6" customWidth="1"/>
    <col min="4358" max="4358" width="9.85546875" bestFit="1" customWidth="1"/>
    <col min="4359" max="4359" width="15" customWidth="1"/>
    <col min="4361" max="4361" width="11.140625" customWidth="1"/>
    <col min="4609" max="4609" width="4" customWidth="1"/>
    <col min="4610" max="4610" width="6" customWidth="1"/>
    <col min="4614" max="4614" width="9.85546875" bestFit="1" customWidth="1"/>
    <col min="4615" max="4615" width="15" customWidth="1"/>
    <col min="4617" max="4617" width="11.140625" customWidth="1"/>
    <col min="4865" max="4865" width="4" customWidth="1"/>
    <col min="4866" max="4866" width="6" customWidth="1"/>
    <col min="4870" max="4870" width="9.85546875" bestFit="1" customWidth="1"/>
    <col min="4871" max="4871" width="15" customWidth="1"/>
    <col min="4873" max="4873" width="11.140625" customWidth="1"/>
    <col min="5121" max="5121" width="4" customWidth="1"/>
    <col min="5122" max="5122" width="6" customWidth="1"/>
    <col min="5126" max="5126" width="9.85546875" bestFit="1" customWidth="1"/>
    <col min="5127" max="5127" width="15" customWidth="1"/>
    <col min="5129" max="5129" width="11.140625" customWidth="1"/>
    <col min="5377" max="5377" width="4" customWidth="1"/>
    <col min="5378" max="5378" width="6" customWidth="1"/>
    <col min="5382" max="5382" width="9.85546875" bestFit="1" customWidth="1"/>
    <col min="5383" max="5383" width="15" customWidth="1"/>
    <col min="5385" max="5385" width="11.140625" customWidth="1"/>
    <col min="5633" max="5633" width="4" customWidth="1"/>
    <col min="5634" max="5634" width="6" customWidth="1"/>
    <col min="5638" max="5638" width="9.85546875" bestFit="1" customWidth="1"/>
    <col min="5639" max="5639" width="15" customWidth="1"/>
    <col min="5641" max="5641" width="11.140625" customWidth="1"/>
    <col min="5889" max="5889" width="4" customWidth="1"/>
    <col min="5890" max="5890" width="6" customWidth="1"/>
    <col min="5894" max="5894" width="9.85546875" bestFit="1" customWidth="1"/>
    <col min="5895" max="5895" width="15" customWidth="1"/>
    <col min="5897" max="5897" width="11.140625" customWidth="1"/>
    <col min="6145" max="6145" width="4" customWidth="1"/>
    <col min="6146" max="6146" width="6" customWidth="1"/>
    <col min="6150" max="6150" width="9.85546875" bestFit="1" customWidth="1"/>
    <col min="6151" max="6151" width="15" customWidth="1"/>
    <col min="6153" max="6153" width="11.140625" customWidth="1"/>
    <col min="6401" max="6401" width="4" customWidth="1"/>
    <col min="6402" max="6402" width="6" customWidth="1"/>
    <col min="6406" max="6406" width="9.85546875" bestFit="1" customWidth="1"/>
    <col min="6407" max="6407" width="15" customWidth="1"/>
    <col min="6409" max="6409" width="11.140625" customWidth="1"/>
    <col min="6657" max="6657" width="4" customWidth="1"/>
    <col min="6658" max="6658" width="6" customWidth="1"/>
    <col min="6662" max="6662" width="9.85546875" bestFit="1" customWidth="1"/>
    <col min="6663" max="6663" width="15" customWidth="1"/>
    <col min="6665" max="6665" width="11.140625" customWidth="1"/>
    <col min="6913" max="6913" width="4" customWidth="1"/>
    <col min="6914" max="6914" width="6" customWidth="1"/>
    <col min="6918" max="6918" width="9.85546875" bestFit="1" customWidth="1"/>
    <col min="6919" max="6919" width="15" customWidth="1"/>
    <col min="6921" max="6921" width="11.140625" customWidth="1"/>
    <col min="7169" max="7169" width="4" customWidth="1"/>
    <col min="7170" max="7170" width="6" customWidth="1"/>
    <col min="7174" max="7174" width="9.85546875" bestFit="1" customWidth="1"/>
    <col min="7175" max="7175" width="15" customWidth="1"/>
    <col min="7177" max="7177" width="11.140625" customWidth="1"/>
    <col min="7425" max="7425" width="4" customWidth="1"/>
    <col min="7426" max="7426" width="6" customWidth="1"/>
    <col min="7430" max="7430" width="9.85546875" bestFit="1" customWidth="1"/>
    <col min="7431" max="7431" width="15" customWidth="1"/>
    <col min="7433" max="7433" width="11.140625" customWidth="1"/>
    <col min="7681" max="7681" width="4" customWidth="1"/>
    <col min="7682" max="7682" width="6" customWidth="1"/>
    <col min="7686" max="7686" width="9.85546875" bestFit="1" customWidth="1"/>
    <col min="7687" max="7687" width="15" customWidth="1"/>
    <col min="7689" max="7689" width="11.140625" customWidth="1"/>
    <col min="7937" max="7937" width="4" customWidth="1"/>
    <col min="7938" max="7938" width="6" customWidth="1"/>
    <col min="7942" max="7942" width="9.85546875" bestFit="1" customWidth="1"/>
    <col min="7943" max="7943" width="15" customWidth="1"/>
    <col min="7945" max="7945" width="11.140625" customWidth="1"/>
    <col min="8193" max="8193" width="4" customWidth="1"/>
    <col min="8194" max="8194" width="6" customWidth="1"/>
    <col min="8198" max="8198" width="9.85546875" bestFit="1" customWidth="1"/>
    <col min="8199" max="8199" width="15" customWidth="1"/>
    <col min="8201" max="8201" width="11.140625" customWidth="1"/>
    <col min="8449" max="8449" width="4" customWidth="1"/>
    <col min="8450" max="8450" width="6" customWidth="1"/>
    <col min="8454" max="8454" width="9.85546875" bestFit="1" customWidth="1"/>
    <col min="8455" max="8455" width="15" customWidth="1"/>
    <col min="8457" max="8457" width="11.140625" customWidth="1"/>
    <col min="8705" max="8705" width="4" customWidth="1"/>
    <col min="8706" max="8706" width="6" customWidth="1"/>
    <col min="8710" max="8710" width="9.85546875" bestFit="1" customWidth="1"/>
    <col min="8711" max="8711" width="15" customWidth="1"/>
    <col min="8713" max="8713" width="11.140625" customWidth="1"/>
    <col min="8961" max="8961" width="4" customWidth="1"/>
    <col min="8962" max="8962" width="6" customWidth="1"/>
    <col min="8966" max="8966" width="9.85546875" bestFit="1" customWidth="1"/>
    <col min="8967" max="8967" width="15" customWidth="1"/>
    <col min="8969" max="8969" width="11.140625" customWidth="1"/>
    <col min="9217" max="9217" width="4" customWidth="1"/>
    <col min="9218" max="9218" width="6" customWidth="1"/>
    <col min="9222" max="9222" width="9.85546875" bestFit="1" customWidth="1"/>
    <col min="9223" max="9223" width="15" customWidth="1"/>
    <col min="9225" max="9225" width="11.140625" customWidth="1"/>
    <col min="9473" max="9473" width="4" customWidth="1"/>
    <col min="9474" max="9474" width="6" customWidth="1"/>
    <col min="9478" max="9478" width="9.85546875" bestFit="1" customWidth="1"/>
    <col min="9479" max="9479" width="15" customWidth="1"/>
    <col min="9481" max="9481" width="11.140625" customWidth="1"/>
    <col min="9729" max="9729" width="4" customWidth="1"/>
    <col min="9730" max="9730" width="6" customWidth="1"/>
    <col min="9734" max="9734" width="9.85546875" bestFit="1" customWidth="1"/>
    <col min="9735" max="9735" width="15" customWidth="1"/>
    <col min="9737" max="9737" width="11.140625" customWidth="1"/>
    <col min="9985" max="9985" width="4" customWidth="1"/>
    <col min="9986" max="9986" width="6" customWidth="1"/>
    <col min="9990" max="9990" width="9.85546875" bestFit="1" customWidth="1"/>
    <col min="9991" max="9991" width="15" customWidth="1"/>
    <col min="9993" max="9993" width="11.140625" customWidth="1"/>
    <col min="10241" max="10241" width="4" customWidth="1"/>
    <col min="10242" max="10242" width="6" customWidth="1"/>
    <col min="10246" max="10246" width="9.85546875" bestFit="1" customWidth="1"/>
    <col min="10247" max="10247" width="15" customWidth="1"/>
    <col min="10249" max="10249" width="11.140625" customWidth="1"/>
    <col min="10497" max="10497" width="4" customWidth="1"/>
    <col min="10498" max="10498" width="6" customWidth="1"/>
    <col min="10502" max="10502" width="9.85546875" bestFit="1" customWidth="1"/>
    <col min="10503" max="10503" width="15" customWidth="1"/>
    <col min="10505" max="10505" width="11.140625" customWidth="1"/>
    <col min="10753" max="10753" width="4" customWidth="1"/>
    <col min="10754" max="10754" width="6" customWidth="1"/>
    <col min="10758" max="10758" width="9.85546875" bestFit="1" customWidth="1"/>
    <col min="10759" max="10759" width="15" customWidth="1"/>
    <col min="10761" max="10761" width="11.140625" customWidth="1"/>
    <col min="11009" max="11009" width="4" customWidth="1"/>
    <col min="11010" max="11010" width="6" customWidth="1"/>
    <col min="11014" max="11014" width="9.85546875" bestFit="1" customWidth="1"/>
    <col min="11015" max="11015" width="15" customWidth="1"/>
    <col min="11017" max="11017" width="11.140625" customWidth="1"/>
    <col min="11265" max="11265" width="4" customWidth="1"/>
    <col min="11266" max="11266" width="6" customWidth="1"/>
    <col min="11270" max="11270" width="9.85546875" bestFit="1" customWidth="1"/>
    <col min="11271" max="11271" width="15" customWidth="1"/>
    <col min="11273" max="11273" width="11.140625" customWidth="1"/>
    <col min="11521" max="11521" width="4" customWidth="1"/>
    <col min="11522" max="11522" width="6" customWidth="1"/>
    <col min="11526" max="11526" width="9.85546875" bestFit="1" customWidth="1"/>
    <col min="11527" max="11527" width="15" customWidth="1"/>
    <col min="11529" max="11529" width="11.140625" customWidth="1"/>
    <col min="11777" max="11777" width="4" customWidth="1"/>
    <col min="11778" max="11778" width="6" customWidth="1"/>
    <col min="11782" max="11782" width="9.85546875" bestFit="1" customWidth="1"/>
    <col min="11783" max="11783" width="15" customWidth="1"/>
    <col min="11785" max="11785" width="11.140625" customWidth="1"/>
    <col min="12033" max="12033" width="4" customWidth="1"/>
    <col min="12034" max="12034" width="6" customWidth="1"/>
    <col min="12038" max="12038" width="9.85546875" bestFit="1" customWidth="1"/>
    <col min="12039" max="12039" width="15" customWidth="1"/>
    <col min="12041" max="12041" width="11.140625" customWidth="1"/>
    <col min="12289" max="12289" width="4" customWidth="1"/>
    <col min="12290" max="12290" width="6" customWidth="1"/>
    <col min="12294" max="12294" width="9.85546875" bestFit="1" customWidth="1"/>
    <col min="12295" max="12295" width="15" customWidth="1"/>
    <col min="12297" max="12297" width="11.140625" customWidth="1"/>
    <col min="12545" max="12545" width="4" customWidth="1"/>
    <col min="12546" max="12546" width="6" customWidth="1"/>
    <col min="12550" max="12550" width="9.85546875" bestFit="1" customWidth="1"/>
    <col min="12551" max="12551" width="15" customWidth="1"/>
    <col min="12553" max="12553" width="11.140625" customWidth="1"/>
    <col min="12801" max="12801" width="4" customWidth="1"/>
    <col min="12802" max="12802" width="6" customWidth="1"/>
    <col min="12806" max="12806" width="9.85546875" bestFit="1" customWidth="1"/>
    <col min="12807" max="12807" width="15" customWidth="1"/>
    <col min="12809" max="12809" width="11.140625" customWidth="1"/>
    <col min="13057" max="13057" width="4" customWidth="1"/>
    <col min="13058" max="13058" width="6" customWidth="1"/>
    <col min="13062" max="13062" width="9.85546875" bestFit="1" customWidth="1"/>
    <col min="13063" max="13063" width="15" customWidth="1"/>
    <col min="13065" max="13065" width="11.140625" customWidth="1"/>
    <col min="13313" max="13313" width="4" customWidth="1"/>
    <col min="13314" max="13314" width="6" customWidth="1"/>
    <col min="13318" max="13318" width="9.85546875" bestFit="1" customWidth="1"/>
    <col min="13319" max="13319" width="15" customWidth="1"/>
    <col min="13321" max="13321" width="11.140625" customWidth="1"/>
    <col min="13569" max="13569" width="4" customWidth="1"/>
    <col min="13570" max="13570" width="6" customWidth="1"/>
    <col min="13574" max="13574" width="9.85546875" bestFit="1" customWidth="1"/>
    <col min="13575" max="13575" width="15" customWidth="1"/>
    <col min="13577" max="13577" width="11.140625" customWidth="1"/>
    <col min="13825" max="13825" width="4" customWidth="1"/>
    <col min="13826" max="13826" width="6" customWidth="1"/>
    <col min="13830" max="13830" width="9.85546875" bestFit="1" customWidth="1"/>
    <col min="13831" max="13831" width="15" customWidth="1"/>
    <col min="13833" max="13833" width="11.140625" customWidth="1"/>
    <col min="14081" max="14081" width="4" customWidth="1"/>
    <col min="14082" max="14082" width="6" customWidth="1"/>
    <col min="14086" max="14086" width="9.85546875" bestFit="1" customWidth="1"/>
    <col min="14087" max="14087" width="15" customWidth="1"/>
    <col min="14089" max="14089" width="11.140625" customWidth="1"/>
    <col min="14337" max="14337" width="4" customWidth="1"/>
    <col min="14338" max="14338" width="6" customWidth="1"/>
    <col min="14342" max="14342" width="9.85546875" bestFit="1" customWidth="1"/>
    <col min="14343" max="14343" width="15" customWidth="1"/>
    <col min="14345" max="14345" width="11.140625" customWidth="1"/>
    <col min="14593" max="14593" width="4" customWidth="1"/>
    <col min="14594" max="14594" width="6" customWidth="1"/>
    <col min="14598" max="14598" width="9.85546875" bestFit="1" customWidth="1"/>
    <col min="14599" max="14599" width="15" customWidth="1"/>
    <col min="14601" max="14601" width="11.140625" customWidth="1"/>
    <col min="14849" max="14849" width="4" customWidth="1"/>
    <col min="14850" max="14850" width="6" customWidth="1"/>
    <col min="14854" max="14854" width="9.85546875" bestFit="1" customWidth="1"/>
    <col min="14855" max="14855" width="15" customWidth="1"/>
    <col min="14857" max="14857" width="11.140625" customWidth="1"/>
    <col min="15105" max="15105" width="4" customWidth="1"/>
    <col min="15106" max="15106" width="6" customWidth="1"/>
    <col min="15110" max="15110" width="9.85546875" bestFit="1" customWidth="1"/>
    <col min="15111" max="15111" width="15" customWidth="1"/>
    <col min="15113" max="15113" width="11.140625" customWidth="1"/>
    <col min="15361" max="15361" width="4" customWidth="1"/>
    <col min="15362" max="15362" width="6" customWidth="1"/>
    <col min="15366" max="15366" width="9.85546875" bestFit="1" customWidth="1"/>
    <col min="15367" max="15367" width="15" customWidth="1"/>
    <col min="15369" max="15369" width="11.140625" customWidth="1"/>
    <col min="15617" max="15617" width="4" customWidth="1"/>
    <col min="15618" max="15618" width="6" customWidth="1"/>
    <col min="15622" max="15622" width="9.85546875" bestFit="1" customWidth="1"/>
    <col min="15623" max="15623" width="15" customWidth="1"/>
    <col min="15625" max="15625" width="11.140625" customWidth="1"/>
    <col min="15873" max="15873" width="4" customWidth="1"/>
    <col min="15874" max="15874" width="6" customWidth="1"/>
    <col min="15878" max="15878" width="9.85546875" bestFit="1" customWidth="1"/>
    <col min="15879" max="15879" width="15" customWidth="1"/>
    <col min="15881" max="15881" width="11.140625" customWidth="1"/>
    <col min="16129" max="16129" width="4" customWidth="1"/>
    <col min="16130" max="16130" width="6" customWidth="1"/>
    <col min="16134" max="16134" width="9.85546875" bestFit="1" customWidth="1"/>
    <col min="16135" max="16135" width="15" customWidth="1"/>
    <col min="16137" max="16137" width="11.140625" customWidth="1"/>
  </cols>
  <sheetData>
    <row r="1" spans="2:18" ht="15.75" thickBot="1" x14ac:dyDescent="0.3"/>
    <row r="2" spans="2:18" x14ac:dyDescent="0.25">
      <c r="B2" s="115" t="s">
        <v>76</v>
      </c>
      <c r="C2" s="116"/>
      <c r="D2" s="116"/>
      <c r="E2" s="116"/>
      <c r="F2" s="116"/>
      <c r="G2" s="116"/>
      <c r="H2" s="116"/>
      <c r="I2" s="117"/>
    </row>
    <row r="3" spans="2:18" ht="15.75" thickBot="1" x14ac:dyDescent="0.3">
      <c r="B3" s="118"/>
      <c r="C3" s="119"/>
      <c r="D3" s="119"/>
      <c r="E3" s="119"/>
      <c r="F3" s="119"/>
      <c r="G3" s="119"/>
      <c r="H3" s="119"/>
      <c r="I3" s="120"/>
    </row>
    <row r="6" spans="2:18" ht="15.75" thickBot="1" x14ac:dyDescent="0.3"/>
    <row r="7" spans="2:18" x14ac:dyDescent="0.25">
      <c r="B7" s="121" t="s">
        <v>0</v>
      </c>
      <c r="C7" s="123" t="s">
        <v>1</v>
      </c>
      <c r="D7" s="124"/>
      <c r="E7" s="125"/>
      <c r="F7" s="121" t="s">
        <v>2</v>
      </c>
      <c r="G7" s="129" t="s">
        <v>3</v>
      </c>
      <c r="H7" s="157" t="s">
        <v>29</v>
      </c>
      <c r="I7" s="159" t="s">
        <v>37</v>
      </c>
    </row>
    <row r="8" spans="2:18" ht="15.75" thickBot="1" x14ac:dyDescent="0.3">
      <c r="B8" s="122"/>
      <c r="C8" s="126"/>
      <c r="D8" s="127"/>
      <c r="E8" s="128"/>
      <c r="F8" s="122"/>
      <c r="G8" s="130"/>
      <c r="H8" s="158"/>
      <c r="I8" s="160"/>
    </row>
    <row r="9" spans="2:18" ht="15.75" thickBot="1" x14ac:dyDescent="0.3">
      <c r="B9" s="3">
        <v>1</v>
      </c>
      <c r="C9" s="100" t="s">
        <v>38</v>
      </c>
      <c r="D9" s="101"/>
      <c r="E9" s="102"/>
      <c r="F9" s="4">
        <v>700</v>
      </c>
      <c r="G9" s="5">
        <v>1.62</v>
      </c>
      <c r="H9" s="51">
        <f>+F9*G9</f>
        <v>1134</v>
      </c>
      <c r="I9" s="19">
        <f>F9*G9</f>
        <v>1134</v>
      </c>
    </row>
    <row r="10" spans="2:18" ht="15.75" thickBot="1" x14ac:dyDescent="0.3">
      <c r="B10" s="3">
        <v>3</v>
      </c>
      <c r="C10" s="100" t="s">
        <v>9</v>
      </c>
      <c r="D10" s="101"/>
      <c r="E10" s="102"/>
      <c r="F10" s="4">
        <v>300</v>
      </c>
      <c r="G10" s="5">
        <v>1.66</v>
      </c>
      <c r="H10" s="51">
        <f>+F10*G10</f>
        <v>498</v>
      </c>
      <c r="I10" s="19">
        <f>F10*G10</f>
        <v>498</v>
      </c>
      <c r="J10" s="150"/>
      <c r="K10" s="112"/>
      <c r="L10" s="112"/>
      <c r="M10" s="112"/>
      <c r="N10" s="112"/>
      <c r="O10" s="112"/>
      <c r="P10" s="112"/>
      <c r="Q10" s="112"/>
      <c r="R10" s="112"/>
    </row>
    <row r="11" spans="2:18" ht="15.75" thickBot="1" x14ac:dyDescent="0.3">
      <c r="B11" s="103" t="s">
        <v>17</v>
      </c>
      <c r="C11" s="104"/>
      <c r="D11" s="104"/>
      <c r="E11" s="105"/>
      <c r="F11" s="7">
        <f>SUM(F9:F10)</f>
        <v>1000</v>
      </c>
      <c r="G11" s="8"/>
      <c r="H11" s="52">
        <f>SUM(H9:H10)</f>
        <v>1632</v>
      </c>
      <c r="I11" s="53">
        <f>I9+I10</f>
        <v>1632</v>
      </c>
    </row>
    <row r="12" spans="2:18" ht="15.75" thickBot="1" x14ac:dyDescent="0.3">
      <c r="B12" s="3">
        <v>1</v>
      </c>
      <c r="C12" s="100" t="s">
        <v>39</v>
      </c>
      <c r="D12" s="101"/>
      <c r="E12" s="102"/>
      <c r="F12" s="6">
        <v>67</v>
      </c>
      <c r="G12" s="5">
        <v>2.63</v>
      </c>
      <c r="H12" s="54">
        <f>+F12*G12</f>
        <v>176.20999999999998</v>
      </c>
      <c r="I12" s="55"/>
    </row>
    <row r="13" spans="2:18" ht="15.75" thickBot="1" x14ac:dyDescent="0.3">
      <c r="B13" s="11">
        <v>2</v>
      </c>
      <c r="C13" s="100" t="s">
        <v>19</v>
      </c>
      <c r="D13" s="101"/>
      <c r="E13" s="102"/>
      <c r="F13" s="12">
        <v>67</v>
      </c>
      <c r="G13" s="13">
        <f>0.35/1.95583</f>
        <v>0.17895215841867645</v>
      </c>
      <c r="H13" s="56">
        <f>+F13*G13</f>
        <v>11.989794614051322</v>
      </c>
      <c r="I13" s="55"/>
    </row>
    <row r="14" spans="2:18" ht="15.75" thickBot="1" x14ac:dyDescent="0.3">
      <c r="B14" s="103" t="s">
        <v>17</v>
      </c>
      <c r="C14" s="104"/>
      <c r="D14" s="104"/>
      <c r="E14" s="105"/>
      <c r="F14" s="57"/>
      <c r="G14" s="8"/>
      <c r="H14" s="58">
        <f>SUM(H12:H13)</f>
        <v>188.19979461405131</v>
      </c>
      <c r="I14" s="55"/>
    </row>
    <row r="15" spans="2:18" ht="15.75" thickBot="1" x14ac:dyDescent="0.3">
      <c r="C15" s="97" t="s">
        <v>77</v>
      </c>
      <c r="D15" s="133"/>
      <c r="E15" s="133"/>
      <c r="F15" s="133"/>
      <c r="G15" s="134"/>
      <c r="H15" s="59">
        <f>SUM(H14,H11)</f>
        <v>1820.1997946140514</v>
      </c>
      <c r="I15" s="60">
        <f>I11</f>
        <v>1632</v>
      </c>
    </row>
    <row r="16" spans="2:18" ht="15.75" thickBot="1" x14ac:dyDescent="0.3">
      <c r="C16" s="151" t="s">
        <v>40</v>
      </c>
      <c r="D16" s="152"/>
      <c r="E16" s="152"/>
      <c r="F16" s="152"/>
      <c r="G16" s="153"/>
      <c r="H16" s="61">
        <f>+H15*10/100</f>
        <v>182.01997946140511</v>
      </c>
      <c r="I16" s="62">
        <f>I15*10/100</f>
        <v>163.19999999999999</v>
      </c>
      <c r="J16" s="50" t="s">
        <v>41</v>
      </c>
    </row>
    <row r="17" spans="3:9" ht="15.75" thickBot="1" x14ac:dyDescent="0.3">
      <c r="C17" s="154" t="s">
        <v>42</v>
      </c>
      <c r="D17" s="155"/>
      <c r="E17" s="155"/>
      <c r="F17" s="155"/>
      <c r="G17" s="156"/>
      <c r="H17" s="63">
        <f>SUM(H15:H16)</f>
        <v>2002.2197740754564</v>
      </c>
      <c r="I17" s="64">
        <f>I15+I16</f>
        <v>1795.2</v>
      </c>
    </row>
    <row r="18" spans="3:9" x14ac:dyDescent="0.25">
      <c r="C18" s="85" t="s">
        <v>78</v>
      </c>
      <c r="D18" s="86"/>
      <c r="E18" s="86"/>
      <c r="F18" s="86"/>
      <c r="G18" s="87"/>
      <c r="H18" s="65">
        <f>+H17/F11</f>
        <v>2.0022197740754564</v>
      </c>
      <c r="I18" s="66">
        <f>I17/F11</f>
        <v>1.7952000000000001</v>
      </c>
    </row>
    <row r="19" spans="3:9" x14ac:dyDescent="0.25">
      <c r="C19" s="88" t="s">
        <v>43</v>
      </c>
      <c r="D19" s="89"/>
      <c r="E19" s="89"/>
      <c r="F19" s="89"/>
      <c r="G19" s="90"/>
      <c r="H19" s="22"/>
      <c r="I19" s="19"/>
    </row>
    <row r="20" spans="3:9" x14ac:dyDescent="0.25">
      <c r="C20" s="88"/>
      <c r="D20" s="89"/>
      <c r="E20" s="89"/>
      <c r="F20" s="89"/>
      <c r="G20" s="90"/>
      <c r="H20" s="67"/>
      <c r="I20" s="19"/>
    </row>
    <row r="21" spans="3:9" x14ac:dyDescent="0.25">
      <c r="C21" s="88"/>
      <c r="D21" s="89"/>
      <c r="E21" s="89"/>
      <c r="F21" s="89"/>
      <c r="G21" s="89"/>
      <c r="H21" s="19"/>
      <c r="I21" s="68"/>
    </row>
  </sheetData>
  <mergeCells count="21">
    <mergeCell ref="C9:E9"/>
    <mergeCell ref="C10:E10"/>
    <mergeCell ref="B2:I3"/>
    <mergeCell ref="B7:B8"/>
    <mergeCell ref="C7:E8"/>
    <mergeCell ref="F7:F8"/>
    <mergeCell ref="G7:G8"/>
    <mergeCell ref="H7:H8"/>
    <mergeCell ref="I7:I8"/>
    <mergeCell ref="J10:R10"/>
    <mergeCell ref="B11:E11"/>
    <mergeCell ref="C12:E12"/>
    <mergeCell ref="C20:G20"/>
    <mergeCell ref="C21:G21"/>
    <mergeCell ref="B14:E14"/>
    <mergeCell ref="C15:G15"/>
    <mergeCell ref="C16:G16"/>
    <mergeCell ref="C17:G17"/>
    <mergeCell ref="C18:G18"/>
    <mergeCell ref="C19:G19"/>
    <mergeCell ref="C13:E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4"/>
  <sheetViews>
    <sheetView workbookViewId="0">
      <selection activeCell="B2" sqref="B2:I3"/>
    </sheetView>
  </sheetViews>
  <sheetFormatPr defaultRowHeight="15" x14ac:dyDescent="0.25"/>
  <cols>
    <col min="1" max="1" width="4" customWidth="1"/>
    <col min="2" max="2" width="6" customWidth="1"/>
    <col min="6" max="6" width="9.85546875" bestFit="1" customWidth="1"/>
    <col min="7" max="7" width="12.28515625" customWidth="1"/>
    <col min="8" max="8" width="9.5703125" bestFit="1" customWidth="1"/>
    <col min="9" max="9" width="21" customWidth="1"/>
    <col min="257" max="257" width="4" customWidth="1"/>
    <col min="258" max="258" width="6" customWidth="1"/>
    <col min="262" max="262" width="9.85546875" bestFit="1" customWidth="1"/>
    <col min="263" max="263" width="12.28515625" customWidth="1"/>
    <col min="264" max="264" width="9.5703125" bestFit="1" customWidth="1"/>
    <col min="265" max="265" width="21" customWidth="1"/>
    <col min="513" max="513" width="4" customWidth="1"/>
    <col min="514" max="514" width="6" customWidth="1"/>
    <col min="518" max="518" width="9.85546875" bestFit="1" customWidth="1"/>
    <col min="519" max="519" width="12.28515625" customWidth="1"/>
    <col min="520" max="520" width="9.5703125" bestFit="1" customWidth="1"/>
    <col min="521" max="521" width="21" customWidth="1"/>
    <col min="769" max="769" width="4" customWidth="1"/>
    <col min="770" max="770" width="6" customWidth="1"/>
    <col min="774" max="774" width="9.85546875" bestFit="1" customWidth="1"/>
    <col min="775" max="775" width="12.28515625" customWidth="1"/>
    <col min="776" max="776" width="9.5703125" bestFit="1" customWidth="1"/>
    <col min="777" max="777" width="21" customWidth="1"/>
    <col min="1025" max="1025" width="4" customWidth="1"/>
    <col min="1026" max="1026" width="6" customWidth="1"/>
    <col min="1030" max="1030" width="9.85546875" bestFit="1" customWidth="1"/>
    <col min="1031" max="1031" width="12.28515625" customWidth="1"/>
    <col min="1032" max="1032" width="9.5703125" bestFit="1" customWidth="1"/>
    <col min="1033" max="1033" width="21" customWidth="1"/>
    <col min="1281" max="1281" width="4" customWidth="1"/>
    <col min="1282" max="1282" width="6" customWidth="1"/>
    <col min="1286" max="1286" width="9.85546875" bestFit="1" customWidth="1"/>
    <col min="1287" max="1287" width="12.28515625" customWidth="1"/>
    <col min="1288" max="1288" width="9.5703125" bestFit="1" customWidth="1"/>
    <col min="1289" max="1289" width="21" customWidth="1"/>
    <col min="1537" max="1537" width="4" customWidth="1"/>
    <col min="1538" max="1538" width="6" customWidth="1"/>
    <col min="1542" max="1542" width="9.85546875" bestFit="1" customWidth="1"/>
    <col min="1543" max="1543" width="12.28515625" customWidth="1"/>
    <col min="1544" max="1544" width="9.5703125" bestFit="1" customWidth="1"/>
    <col min="1545" max="1545" width="21" customWidth="1"/>
    <col min="1793" max="1793" width="4" customWidth="1"/>
    <col min="1794" max="1794" width="6" customWidth="1"/>
    <col min="1798" max="1798" width="9.85546875" bestFit="1" customWidth="1"/>
    <col min="1799" max="1799" width="12.28515625" customWidth="1"/>
    <col min="1800" max="1800" width="9.5703125" bestFit="1" customWidth="1"/>
    <col min="1801" max="1801" width="21" customWidth="1"/>
    <col min="2049" max="2049" width="4" customWidth="1"/>
    <col min="2050" max="2050" width="6" customWidth="1"/>
    <col min="2054" max="2054" width="9.85546875" bestFit="1" customWidth="1"/>
    <col min="2055" max="2055" width="12.28515625" customWidth="1"/>
    <col min="2056" max="2056" width="9.5703125" bestFit="1" customWidth="1"/>
    <col min="2057" max="2057" width="21" customWidth="1"/>
    <col min="2305" max="2305" width="4" customWidth="1"/>
    <col min="2306" max="2306" width="6" customWidth="1"/>
    <col min="2310" max="2310" width="9.85546875" bestFit="1" customWidth="1"/>
    <col min="2311" max="2311" width="12.28515625" customWidth="1"/>
    <col min="2312" max="2312" width="9.5703125" bestFit="1" customWidth="1"/>
    <col min="2313" max="2313" width="21" customWidth="1"/>
    <col min="2561" max="2561" width="4" customWidth="1"/>
    <col min="2562" max="2562" width="6" customWidth="1"/>
    <col min="2566" max="2566" width="9.85546875" bestFit="1" customWidth="1"/>
    <col min="2567" max="2567" width="12.28515625" customWidth="1"/>
    <col min="2568" max="2568" width="9.5703125" bestFit="1" customWidth="1"/>
    <col min="2569" max="2569" width="21" customWidth="1"/>
    <col min="2817" max="2817" width="4" customWidth="1"/>
    <col min="2818" max="2818" width="6" customWidth="1"/>
    <col min="2822" max="2822" width="9.85546875" bestFit="1" customWidth="1"/>
    <col min="2823" max="2823" width="12.28515625" customWidth="1"/>
    <col min="2824" max="2824" width="9.5703125" bestFit="1" customWidth="1"/>
    <col min="2825" max="2825" width="21" customWidth="1"/>
    <col min="3073" max="3073" width="4" customWidth="1"/>
    <col min="3074" max="3074" width="6" customWidth="1"/>
    <col min="3078" max="3078" width="9.85546875" bestFit="1" customWidth="1"/>
    <col min="3079" max="3079" width="12.28515625" customWidth="1"/>
    <col min="3080" max="3080" width="9.5703125" bestFit="1" customWidth="1"/>
    <col min="3081" max="3081" width="21" customWidth="1"/>
    <col min="3329" max="3329" width="4" customWidth="1"/>
    <col min="3330" max="3330" width="6" customWidth="1"/>
    <col min="3334" max="3334" width="9.85546875" bestFit="1" customWidth="1"/>
    <col min="3335" max="3335" width="12.28515625" customWidth="1"/>
    <col min="3336" max="3336" width="9.5703125" bestFit="1" customWidth="1"/>
    <col min="3337" max="3337" width="21" customWidth="1"/>
    <col min="3585" max="3585" width="4" customWidth="1"/>
    <col min="3586" max="3586" width="6" customWidth="1"/>
    <col min="3590" max="3590" width="9.85546875" bestFit="1" customWidth="1"/>
    <col min="3591" max="3591" width="12.28515625" customWidth="1"/>
    <col min="3592" max="3592" width="9.5703125" bestFit="1" customWidth="1"/>
    <col min="3593" max="3593" width="21" customWidth="1"/>
    <col min="3841" max="3841" width="4" customWidth="1"/>
    <col min="3842" max="3842" width="6" customWidth="1"/>
    <col min="3846" max="3846" width="9.85546875" bestFit="1" customWidth="1"/>
    <col min="3847" max="3847" width="12.28515625" customWidth="1"/>
    <col min="3848" max="3848" width="9.5703125" bestFit="1" customWidth="1"/>
    <col min="3849" max="3849" width="21" customWidth="1"/>
    <col min="4097" max="4097" width="4" customWidth="1"/>
    <col min="4098" max="4098" width="6" customWidth="1"/>
    <col min="4102" max="4102" width="9.85546875" bestFit="1" customWidth="1"/>
    <col min="4103" max="4103" width="12.28515625" customWidth="1"/>
    <col min="4104" max="4104" width="9.5703125" bestFit="1" customWidth="1"/>
    <col min="4105" max="4105" width="21" customWidth="1"/>
    <col min="4353" max="4353" width="4" customWidth="1"/>
    <col min="4354" max="4354" width="6" customWidth="1"/>
    <col min="4358" max="4358" width="9.85546875" bestFit="1" customWidth="1"/>
    <col min="4359" max="4359" width="12.28515625" customWidth="1"/>
    <col min="4360" max="4360" width="9.5703125" bestFit="1" customWidth="1"/>
    <col min="4361" max="4361" width="21" customWidth="1"/>
    <col min="4609" max="4609" width="4" customWidth="1"/>
    <col min="4610" max="4610" width="6" customWidth="1"/>
    <col min="4614" max="4614" width="9.85546875" bestFit="1" customWidth="1"/>
    <col min="4615" max="4615" width="12.28515625" customWidth="1"/>
    <col min="4616" max="4616" width="9.5703125" bestFit="1" customWidth="1"/>
    <col min="4617" max="4617" width="21" customWidth="1"/>
    <col min="4865" max="4865" width="4" customWidth="1"/>
    <col min="4866" max="4866" width="6" customWidth="1"/>
    <col min="4870" max="4870" width="9.85546875" bestFit="1" customWidth="1"/>
    <col min="4871" max="4871" width="12.28515625" customWidth="1"/>
    <col min="4872" max="4872" width="9.5703125" bestFit="1" customWidth="1"/>
    <col min="4873" max="4873" width="21" customWidth="1"/>
    <col min="5121" max="5121" width="4" customWidth="1"/>
    <col min="5122" max="5122" width="6" customWidth="1"/>
    <col min="5126" max="5126" width="9.85546875" bestFit="1" customWidth="1"/>
    <col min="5127" max="5127" width="12.28515625" customWidth="1"/>
    <col min="5128" max="5128" width="9.5703125" bestFit="1" customWidth="1"/>
    <col min="5129" max="5129" width="21" customWidth="1"/>
    <col min="5377" max="5377" width="4" customWidth="1"/>
    <col min="5378" max="5378" width="6" customWidth="1"/>
    <col min="5382" max="5382" width="9.85546875" bestFit="1" customWidth="1"/>
    <col min="5383" max="5383" width="12.28515625" customWidth="1"/>
    <col min="5384" max="5384" width="9.5703125" bestFit="1" customWidth="1"/>
    <col min="5385" max="5385" width="21" customWidth="1"/>
    <col min="5633" max="5633" width="4" customWidth="1"/>
    <col min="5634" max="5634" width="6" customWidth="1"/>
    <col min="5638" max="5638" width="9.85546875" bestFit="1" customWidth="1"/>
    <col min="5639" max="5639" width="12.28515625" customWidth="1"/>
    <col min="5640" max="5640" width="9.5703125" bestFit="1" customWidth="1"/>
    <col min="5641" max="5641" width="21" customWidth="1"/>
    <col min="5889" max="5889" width="4" customWidth="1"/>
    <col min="5890" max="5890" width="6" customWidth="1"/>
    <col min="5894" max="5894" width="9.85546875" bestFit="1" customWidth="1"/>
    <col min="5895" max="5895" width="12.28515625" customWidth="1"/>
    <col min="5896" max="5896" width="9.5703125" bestFit="1" customWidth="1"/>
    <col min="5897" max="5897" width="21" customWidth="1"/>
    <col min="6145" max="6145" width="4" customWidth="1"/>
    <col min="6146" max="6146" width="6" customWidth="1"/>
    <col min="6150" max="6150" width="9.85546875" bestFit="1" customWidth="1"/>
    <col min="6151" max="6151" width="12.28515625" customWidth="1"/>
    <col min="6152" max="6152" width="9.5703125" bestFit="1" customWidth="1"/>
    <col min="6153" max="6153" width="21" customWidth="1"/>
    <col min="6401" max="6401" width="4" customWidth="1"/>
    <col min="6402" max="6402" width="6" customWidth="1"/>
    <col min="6406" max="6406" width="9.85546875" bestFit="1" customWidth="1"/>
    <col min="6407" max="6407" width="12.28515625" customWidth="1"/>
    <col min="6408" max="6408" width="9.5703125" bestFit="1" customWidth="1"/>
    <col min="6409" max="6409" width="21" customWidth="1"/>
    <col min="6657" max="6657" width="4" customWidth="1"/>
    <col min="6658" max="6658" width="6" customWidth="1"/>
    <col min="6662" max="6662" width="9.85546875" bestFit="1" customWidth="1"/>
    <col min="6663" max="6663" width="12.28515625" customWidth="1"/>
    <col min="6664" max="6664" width="9.5703125" bestFit="1" customWidth="1"/>
    <col min="6665" max="6665" width="21" customWidth="1"/>
    <col min="6913" max="6913" width="4" customWidth="1"/>
    <col min="6914" max="6914" width="6" customWidth="1"/>
    <col min="6918" max="6918" width="9.85546875" bestFit="1" customWidth="1"/>
    <col min="6919" max="6919" width="12.28515625" customWidth="1"/>
    <col min="6920" max="6920" width="9.5703125" bestFit="1" customWidth="1"/>
    <col min="6921" max="6921" width="21" customWidth="1"/>
    <col min="7169" max="7169" width="4" customWidth="1"/>
    <col min="7170" max="7170" width="6" customWidth="1"/>
    <col min="7174" max="7174" width="9.85546875" bestFit="1" customWidth="1"/>
    <col min="7175" max="7175" width="12.28515625" customWidth="1"/>
    <col min="7176" max="7176" width="9.5703125" bestFit="1" customWidth="1"/>
    <col min="7177" max="7177" width="21" customWidth="1"/>
    <col min="7425" max="7425" width="4" customWidth="1"/>
    <col min="7426" max="7426" width="6" customWidth="1"/>
    <col min="7430" max="7430" width="9.85546875" bestFit="1" customWidth="1"/>
    <col min="7431" max="7431" width="12.28515625" customWidth="1"/>
    <col min="7432" max="7432" width="9.5703125" bestFit="1" customWidth="1"/>
    <col min="7433" max="7433" width="21" customWidth="1"/>
    <col min="7681" max="7681" width="4" customWidth="1"/>
    <col min="7682" max="7682" width="6" customWidth="1"/>
    <col min="7686" max="7686" width="9.85546875" bestFit="1" customWidth="1"/>
    <col min="7687" max="7687" width="12.28515625" customWidth="1"/>
    <col min="7688" max="7688" width="9.5703125" bestFit="1" customWidth="1"/>
    <col min="7689" max="7689" width="21" customWidth="1"/>
    <col min="7937" max="7937" width="4" customWidth="1"/>
    <col min="7938" max="7938" width="6" customWidth="1"/>
    <col min="7942" max="7942" width="9.85546875" bestFit="1" customWidth="1"/>
    <col min="7943" max="7943" width="12.28515625" customWidth="1"/>
    <col min="7944" max="7944" width="9.5703125" bestFit="1" customWidth="1"/>
    <col min="7945" max="7945" width="21" customWidth="1"/>
    <col min="8193" max="8193" width="4" customWidth="1"/>
    <col min="8194" max="8194" width="6" customWidth="1"/>
    <col min="8198" max="8198" width="9.85546875" bestFit="1" customWidth="1"/>
    <col min="8199" max="8199" width="12.28515625" customWidth="1"/>
    <col min="8200" max="8200" width="9.5703125" bestFit="1" customWidth="1"/>
    <col min="8201" max="8201" width="21" customWidth="1"/>
    <col min="8449" max="8449" width="4" customWidth="1"/>
    <col min="8450" max="8450" width="6" customWidth="1"/>
    <col min="8454" max="8454" width="9.85546875" bestFit="1" customWidth="1"/>
    <col min="8455" max="8455" width="12.28515625" customWidth="1"/>
    <col min="8456" max="8456" width="9.5703125" bestFit="1" customWidth="1"/>
    <col min="8457" max="8457" width="21" customWidth="1"/>
    <col min="8705" max="8705" width="4" customWidth="1"/>
    <col min="8706" max="8706" width="6" customWidth="1"/>
    <col min="8710" max="8710" width="9.85546875" bestFit="1" customWidth="1"/>
    <col min="8711" max="8711" width="12.28515625" customWidth="1"/>
    <col min="8712" max="8712" width="9.5703125" bestFit="1" customWidth="1"/>
    <col min="8713" max="8713" width="21" customWidth="1"/>
    <col min="8961" max="8961" width="4" customWidth="1"/>
    <col min="8962" max="8962" width="6" customWidth="1"/>
    <col min="8966" max="8966" width="9.85546875" bestFit="1" customWidth="1"/>
    <col min="8967" max="8967" width="12.28515625" customWidth="1"/>
    <col min="8968" max="8968" width="9.5703125" bestFit="1" customWidth="1"/>
    <col min="8969" max="8969" width="21" customWidth="1"/>
    <col min="9217" max="9217" width="4" customWidth="1"/>
    <col min="9218" max="9218" width="6" customWidth="1"/>
    <col min="9222" max="9222" width="9.85546875" bestFit="1" customWidth="1"/>
    <col min="9223" max="9223" width="12.28515625" customWidth="1"/>
    <col min="9224" max="9224" width="9.5703125" bestFit="1" customWidth="1"/>
    <col min="9225" max="9225" width="21" customWidth="1"/>
    <col min="9473" max="9473" width="4" customWidth="1"/>
    <col min="9474" max="9474" width="6" customWidth="1"/>
    <col min="9478" max="9478" width="9.85546875" bestFit="1" customWidth="1"/>
    <col min="9479" max="9479" width="12.28515625" customWidth="1"/>
    <col min="9480" max="9480" width="9.5703125" bestFit="1" customWidth="1"/>
    <col min="9481" max="9481" width="21" customWidth="1"/>
    <col min="9729" max="9729" width="4" customWidth="1"/>
    <col min="9730" max="9730" width="6" customWidth="1"/>
    <col min="9734" max="9734" width="9.85546875" bestFit="1" customWidth="1"/>
    <col min="9735" max="9735" width="12.28515625" customWidth="1"/>
    <col min="9736" max="9736" width="9.5703125" bestFit="1" customWidth="1"/>
    <col min="9737" max="9737" width="21" customWidth="1"/>
    <col min="9985" max="9985" width="4" customWidth="1"/>
    <col min="9986" max="9986" width="6" customWidth="1"/>
    <col min="9990" max="9990" width="9.85546875" bestFit="1" customWidth="1"/>
    <col min="9991" max="9991" width="12.28515625" customWidth="1"/>
    <col min="9992" max="9992" width="9.5703125" bestFit="1" customWidth="1"/>
    <col min="9993" max="9993" width="21" customWidth="1"/>
    <col min="10241" max="10241" width="4" customWidth="1"/>
    <col min="10242" max="10242" width="6" customWidth="1"/>
    <col min="10246" max="10246" width="9.85546875" bestFit="1" customWidth="1"/>
    <col min="10247" max="10247" width="12.28515625" customWidth="1"/>
    <col min="10248" max="10248" width="9.5703125" bestFit="1" customWidth="1"/>
    <col min="10249" max="10249" width="21" customWidth="1"/>
    <col min="10497" max="10497" width="4" customWidth="1"/>
    <col min="10498" max="10498" width="6" customWidth="1"/>
    <col min="10502" max="10502" width="9.85546875" bestFit="1" customWidth="1"/>
    <col min="10503" max="10503" width="12.28515625" customWidth="1"/>
    <col min="10504" max="10504" width="9.5703125" bestFit="1" customWidth="1"/>
    <col min="10505" max="10505" width="21" customWidth="1"/>
    <col min="10753" max="10753" width="4" customWidth="1"/>
    <col min="10754" max="10754" width="6" customWidth="1"/>
    <col min="10758" max="10758" width="9.85546875" bestFit="1" customWidth="1"/>
    <col min="10759" max="10759" width="12.28515625" customWidth="1"/>
    <col min="10760" max="10760" width="9.5703125" bestFit="1" customWidth="1"/>
    <col min="10761" max="10761" width="21" customWidth="1"/>
    <col min="11009" max="11009" width="4" customWidth="1"/>
    <col min="11010" max="11010" width="6" customWidth="1"/>
    <col min="11014" max="11014" width="9.85546875" bestFit="1" customWidth="1"/>
    <col min="11015" max="11015" width="12.28515625" customWidth="1"/>
    <col min="11016" max="11016" width="9.5703125" bestFit="1" customWidth="1"/>
    <col min="11017" max="11017" width="21" customWidth="1"/>
    <col min="11265" max="11265" width="4" customWidth="1"/>
    <col min="11266" max="11266" width="6" customWidth="1"/>
    <col min="11270" max="11270" width="9.85546875" bestFit="1" customWidth="1"/>
    <col min="11271" max="11271" width="12.28515625" customWidth="1"/>
    <col min="11272" max="11272" width="9.5703125" bestFit="1" customWidth="1"/>
    <col min="11273" max="11273" width="21" customWidth="1"/>
    <col min="11521" max="11521" width="4" customWidth="1"/>
    <col min="11522" max="11522" width="6" customWidth="1"/>
    <col min="11526" max="11526" width="9.85546875" bestFit="1" customWidth="1"/>
    <col min="11527" max="11527" width="12.28515625" customWidth="1"/>
    <col min="11528" max="11528" width="9.5703125" bestFit="1" customWidth="1"/>
    <col min="11529" max="11529" width="21" customWidth="1"/>
    <col min="11777" max="11777" width="4" customWidth="1"/>
    <col min="11778" max="11778" width="6" customWidth="1"/>
    <col min="11782" max="11782" width="9.85546875" bestFit="1" customWidth="1"/>
    <col min="11783" max="11783" width="12.28515625" customWidth="1"/>
    <col min="11784" max="11784" width="9.5703125" bestFit="1" customWidth="1"/>
    <col min="11785" max="11785" width="21" customWidth="1"/>
    <col min="12033" max="12033" width="4" customWidth="1"/>
    <col min="12034" max="12034" width="6" customWidth="1"/>
    <col min="12038" max="12038" width="9.85546875" bestFit="1" customWidth="1"/>
    <col min="12039" max="12039" width="12.28515625" customWidth="1"/>
    <col min="12040" max="12040" width="9.5703125" bestFit="1" customWidth="1"/>
    <col min="12041" max="12041" width="21" customWidth="1"/>
    <col min="12289" max="12289" width="4" customWidth="1"/>
    <col min="12290" max="12290" width="6" customWidth="1"/>
    <col min="12294" max="12294" width="9.85546875" bestFit="1" customWidth="1"/>
    <col min="12295" max="12295" width="12.28515625" customWidth="1"/>
    <col min="12296" max="12296" width="9.5703125" bestFit="1" customWidth="1"/>
    <col min="12297" max="12297" width="21" customWidth="1"/>
    <col min="12545" max="12545" width="4" customWidth="1"/>
    <col min="12546" max="12546" width="6" customWidth="1"/>
    <col min="12550" max="12550" width="9.85546875" bestFit="1" customWidth="1"/>
    <col min="12551" max="12551" width="12.28515625" customWidth="1"/>
    <col min="12552" max="12552" width="9.5703125" bestFit="1" customWidth="1"/>
    <col min="12553" max="12553" width="21" customWidth="1"/>
    <col min="12801" max="12801" width="4" customWidth="1"/>
    <col min="12802" max="12802" width="6" customWidth="1"/>
    <col min="12806" max="12806" width="9.85546875" bestFit="1" customWidth="1"/>
    <col min="12807" max="12807" width="12.28515625" customWidth="1"/>
    <col min="12808" max="12808" width="9.5703125" bestFit="1" customWidth="1"/>
    <col min="12809" max="12809" width="21" customWidth="1"/>
    <col min="13057" max="13057" width="4" customWidth="1"/>
    <col min="13058" max="13058" width="6" customWidth="1"/>
    <col min="13062" max="13062" width="9.85546875" bestFit="1" customWidth="1"/>
    <col min="13063" max="13063" width="12.28515625" customWidth="1"/>
    <col min="13064" max="13064" width="9.5703125" bestFit="1" customWidth="1"/>
    <col min="13065" max="13065" width="21" customWidth="1"/>
    <col min="13313" max="13313" width="4" customWidth="1"/>
    <col min="13314" max="13314" width="6" customWidth="1"/>
    <col min="13318" max="13318" width="9.85546875" bestFit="1" customWidth="1"/>
    <col min="13319" max="13319" width="12.28515625" customWidth="1"/>
    <col min="13320" max="13320" width="9.5703125" bestFit="1" customWidth="1"/>
    <col min="13321" max="13321" width="21" customWidth="1"/>
    <col min="13569" max="13569" width="4" customWidth="1"/>
    <col min="13570" max="13570" width="6" customWidth="1"/>
    <col min="13574" max="13574" width="9.85546875" bestFit="1" customWidth="1"/>
    <col min="13575" max="13575" width="12.28515625" customWidth="1"/>
    <col min="13576" max="13576" width="9.5703125" bestFit="1" customWidth="1"/>
    <col min="13577" max="13577" width="21" customWidth="1"/>
    <col min="13825" max="13825" width="4" customWidth="1"/>
    <col min="13826" max="13826" width="6" customWidth="1"/>
    <col min="13830" max="13830" width="9.85546875" bestFit="1" customWidth="1"/>
    <col min="13831" max="13831" width="12.28515625" customWidth="1"/>
    <col min="13832" max="13832" width="9.5703125" bestFit="1" customWidth="1"/>
    <col min="13833" max="13833" width="21" customWidth="1"/>
    <col min="14081" max="14081" width="4" customWidth="1"/>
    <col min="14082" max="14082" width="6" customWidth="1"/>
    <col min="14086" max="14086" width="9.85546875" bestFit="1" customWidth="1"/>
    <col min="14087" max="14087" width="12.28515625" customWidth="1"/>
    <col min="14088" max="14088" width="9.5703125" bestFit="1" customWidth="1"/>
    <col min="14089" max="14089" width="21" customWidth="1"/>
    <col min="14337" max="14337" width="4" customWidth="1"/>
    <col min="14338" max="14338" width="6" customWidth="1"/>
    <col min="14342" max="14342" width="9.85546875" bestFit="1" customWidth="1"/>
    <col min="14343" max="14343" width="12.28515625" customWidth="1"/>
    <col min="14344" max="14344" width="9.5703125" bestFit="1" customWidth="1"/>
    <col min="14345" max="14345" width="21" customWidth="1"/>
    <col min="14593" max="14593" width="4" customWidth="1"/>
    <col min="14594" max="14594" width="6" customWidth="1"/>
    <col min="14598" max="14598" width="9.85546875" bestFit="1" customWidth="1"/>
    <col min="14599" max="14599" width="12.28515625" customWidth="1"/>
    <col min="14600" max="14600" width="9.5703125" bestFit="1" customWidth="1"/>
    <col min="14601" max="14601" width="21" customWidth="1"/>
    <col min="14849" max="14849" width="4" customWidth="1"/>
    <col min="14850" max="14850" width="6" customWidth="1"/>
    <col min="14854" max="14854" width="9.85546875" bestFit="1" customWidth="1"/>
    <col min="14855" max="14855" width="12.28515625" customWidth="1"/>
    <col min="14856" max="14856" width="9.5703125" bestFit="1" customWidth="1"/>
    <col min="14857" max="14857" width="21" customWidth="1"/>
    <col min="15105" max="15105" width="4" customWidth="1"/>
    <col min="15106" max="15106" width="6" customWidth="1"/>
    <col min="15110" max="15110" width="9.85546875" bestFit="1" customWidth="1"/>
    <col min="15111" max="15111" width="12.28515625" customWidth="1"/>
    <col min="15112" max="15112" width="9.5703125" bestFit="1" customWidth="1"/>
    <col min="15113" max="15113" width="21" customWidth="1"/>
    <col min="15361" max="15361" width="4" customWidth="1"/>
    <col min="15362" max="15362" width="6" customWidth="1"/>
    <col min="15366" max="15366" width="9.85546875" bestFit="1" customWidth="1"/>
    <col min="15367" max="15367" width="12.28515625" customWidth="1"/>
    <col min="15368" max="15368" width="9.5703125" bestFit="1" customWidth="1"/>
    <col min="15369" max="15369" width="21" customWidth="1"/>
    <col min="15617" max="15617" width="4" customWidth="1"/>
    <col min="15618" max="15618" width="6" customWidth="1"/>
    <col min="15622" max="15622" width="9.85546875" bestFit="1" customWidth="1"/>
    <col min="15623" max="15623" width="12.28515625" customWidth="1"/>
    <col min="15624" max="15624" width="9.5703125" bestFit="1" customWidth="1"/>
    <col min="15625" max="15625" width="21" customWidth="1"/>
    <col min="15873" max="15873" width="4" customWidth="1"/>
    <col min="15874" max="15874" width="6" customWidth="1"/>
    <col min="15878" max="15878" width="9.85546875" bestFit="1" customWidth="1"/>
    <col min="15879" max="15879" width="12.28515625" customWidth="1"/>
    <col min="15880" max="15880" width="9.5703125" bestFit="1" customWidth="1"/>
    <col min="15881" max="15881" width="21" customWidth="1"/>
    <col min="16129" max="16129" width="4" customWidth="1"/>
    <col min="16130" max="16130" width="6" customWidth="1"/>
    <col min="16134" max="16134" width="9.85546875" bestFit="1" customWidth="1"/>
    <col min="16135" max="16135" width="12.28515625" customWidth="1"/>
    <col min="16136" max="16136" width="9.5703125" bestFit="1" customWidth="1"/>
    <col min="16137" max="16137" width="21" customWidth="1"/>
  </cols>
  <sheetData>
    <row r="1" spans="2:14" ht="15.75" thickBot="1" x14ac:dyDescent="0.3"/>
    <row r="2" spans="2:14" x14ac:dyDescent="0.25">
      <c r="B2" s="161" t="s">
        <v>79</v>
      </c>
      <c r="C2" s="162"/>
      <c r="D2" s="162"/>
      <c r="E2" s="162"/>
      <c r="F2" s="162"/>
      <c r="G2" s="162"/>
      <c r="H2" s="162"/>
      <c r="I2" s="163"/>
    </row>
    <row r="3" spans="2:14" ht="15.75" thickBot="1" x14ac:dyDescent="0.3">
      <c r="B3" s="164"/>
      <c r="C3" s="165"/>
      <c r="D3" s="165"/>
      <c r="E3" s="165"/>
      <c r="F3" s="165"/>
      <c r="G3" s="165"/>
      <c r="H3" s="165"/>
      <c r="I3" s="166"/>
    </row>
    <row r="6" spans="2:14" ht="15.75" thickBot="1" x14ac:dyDescent="0.3"/>
    <row r="7" spans="2:14" x14ac:dyDescent="0.25">
      <c r="B7" s="121" t="s">
        <v>0</v>
      </c>
      <c r="C7" s="123" t="s">
        <v>1</v>
      </c>
      <c r="D7" s="124"/>
      <c r="E7" s="125"/>
      <c r="F7" s="121" t="s">
        <v>2</v>
      </c>
      <c r="G7" s="129" t="s">
        <v>3</v>
      </c>
      <c r="H7" s="129" t="s">
        <v>29</v>
      </c>
    </row>
    <row r="8" spans="2:14" ht="15.75" thickBot="1" x14ac:dyDescent="0.3">
      <c r="B8" s="122"/>
      <c r="C8" s="126"/>
      <c r="D8" s="127"/>
      <c r="E8" s="128"/>
      <c r="F8" s="122"/>
      <c r="G8" s="130"/>
      <c r="H8" s="130"/>
    </row>
    <row r="9" spans="2:14" ht="15.75" thickBot="1" x14ac:dyDescent="0.3">
      <c r="B9" s="3">
        <v>1</v>
      </c>
      <c r="C9" s="100" t="s">
        <v>44</v>
      </c>
      <c r="D9" s="101"/>
      <c r="E9" s="102"/>
      <c r="F9" s="4">
        <v>15</v>
      </c>
      <c r="G9" s="5">
        <f>5.8/1.95583</f>
        <v>2.965492910938067</v>
      </c>
      <c r="H9" s="5">
        <f>+F9*G9</f>
        <v>44.482393664071004</v>
      </c>
    </row>
    <row r="10" spans="2:14" ht="15.75" thickBot="1" x14ac:dyDescent="0.3">
      <c r="B10" s="103" t="s">
        <v>17</v>
      </c>
      <c r="C10" s="104"/>
      <c r="D10" s="104"/>
      <c r="E10" s="105"/>
      <c r="F10" s="34">
        <f>SUM(F9:F9)</f>
        <v>15</v>
      </c>
      <c r="G10" s="8"/>
      <c r="H10" s="34">
        <f>SUM(H9:H9)</f>
        <v>44.482393664071004</v>
      </c>
    </row>
    <row r="11" spans="2:14" ht="15.75" thickBot="1" x14ac:dyDescent="0.3">
      <c r="B11" s="3">
        <v>1</v>
      </c>
      <c r="C11" s="100" t="s">
        <v>45</v>
      </c>
      <c r="D11" s="101"/>
      <c r="E11" s="102"/>
      <c r="F11" s="6">
        <v>1</v>
      </c>
      <c r="G11" s="5">
        <v>2.63</v>
      </c>
      <c r="H11" s="5">
        <f>+F11*G11</f>
        <v>2.63</v>
      </c>
    </row>
    <row r="12" spans="2:14" ht="15.75" thickBot="1" x14ac:dyDescent="0.3">
      <c r="B12" s="11">
        <v>2</v>
      </c>
      <c r="C12" s="100" t="s">
        <v>19</v>
      </c>
      <c r="D12" s="101"/>
      <c r="E12" s="102"/>
      <c r="F12" s="12">
        <v>1</v>
      </c>
      <c r="G12" s="13">
        <v>0.18</v>
      </c>
      <c r="H12" s="13">
        <f>+F12*G12</f>
        <v>0.18</v>
      </c>
    </row>
    <row r="13" spans="2:14" ht="15.75" thickBot="1" x14ac:dyDescent="0.3">
      <c r="B13" s="3">
        <v>3</v>
      </c>
      <c r="C13" s="100"/>
      <c r="D13" s="101"/>
      <c r="E13" s="102"/>
      <c r="F13" s="8"/>
      <c r="G13" s="8"/>
      <c r="H13" s="13"/>
    </row>
    <row r="14" spans="2:14" ht="15.75" thickBot="1" x14ac:dyDescent="0.3">
      <c r="B14" s="103" t="s">
        <v>17</v>
      </c>
      <c r="C14" s="104"/>
      <c r="D14" s="104"/>
      <c r="E14" s="105"/>
      <c r="F14" s="8"/>
      <c r="G14" s="8"/>
      <c r="H14" s="39">
        <f>SUM(H11:H13)</f>
        <v>2.81</v>
      </c>
    </row>
    <row r="15" spans="2:14" ht="15.75" thickBot="1" x14ac:dyDescent="0.3">
      <c r="C15" s="97" t="s">
        <v>80</v>
      </c>
      <c r="D15" s="133"/>
      <c r="E15" s="133"/>
      <c r="F15" s="133"/>
      <c r="G15" s="134"/>
      <c r="H15" s="15">
        <f>SUM(H14,H10)</f>
        <v>47.292393664071007</v>
      </c>
    </row>
    <row r="16" spans="2:14" ht="15.75" thickBot="1" x14ac:dyDescent="0.3">
      <c r="C16" s="151" t="s">
        <v>46</v>
      </c>
      <c r="D16" s="152"/>
      <c r="E16" s="152"/>
      <c r="F16" s="152"/>
      <c r="G16" s="153"/>
      <c r="H16" s="69">
        <f>+H15*15/100</f>
        <v>7.0938590496106508</v>
      </c>
      <c r="I16" s="70" t="s">
        <v>47</v>
      </c>
      <c r="J16" s="71"/>
      <c r="K16" s="71"/>
      <c r="L16" s="71"/>
      <c r="M16" s="71"/>
      <c r="N16" s="72"/>
    </row>
    <row r="17" spans="3:12" ht="15.75" thickBot="1" x14ac:dyDescent="0.3">
      <c r="C17" s="154" t="s">
        <v>42</v>
      </c>
      <c r="D17" s="155"/>
      <c r="E17" s="155"/>
      <c r="F17" s="155"/>
      <c r="G17" s="156"/>
      <c r="H17" s="73">
        <f>SUM(H15:H16)</f>
        <v>54.386252713681657</v>
      </c>
    </row>
    <row r="18" spans="3:12" x14ac:dyDescent="0.25">
      <c r="C18" s="85" t="s">
        <v>78</v>
      </c>
      <c r="D18" s="86"/>
      <c r="E18" s="86"/>
      <c r="F18" s="86"/>
      <c r="G18" s="87"/>
      <c r="H18" s="18">
        <f>+H17/F10</f>
        <v>3.6257501809121107</v>
      </c>
    </row>
    <row r="19" spans="3:12" x14ac:dyDescent="0.25">
      <c r="C19" s="88" t="s">
        <v>48</v>
      </c>
      <c r="D19" s="89"/>
      <c r="E19" s="89"/>
      <c r="F19" s="89"/>
      <c r="G19" s="90"/>
      <c r="H19" s="19"/>
      <c r="I19" s="74"/>
      <c r="J19" s="74"/>
      <c r="L19" s="24"/>
    </row>
    <row r="20" spans="3:12" x14ac:dyDescent="0.25">
      <c r="C20" s="88" t="s">
        <v>49</v>
      </c>
      <c r="D20" s="89"/>
      <c r="E20" s="89"/>
      <c r="F20" s="89"/>
      <c r="G20" s="89"/>
      <c r="H20" s="19"/>
      <c r="I20" s="74"/>
      <c r="J20" s="74"/>
      <c r="L20" s="24"/>
    </row>
    <row r="23" spans="3:12" x14ac:dyDescent="0.25">
      <c r="C23" s="74"/>
      <c r="D23" s="75"/>
      <c r="E23" s="75"/>
      <c r="F23" s="75"/>
      <c r="G23" s="75"/>
      <c r="H23" s="75"/>
      <c r="I23" s="24"/>
    </row>
    <row r="24" spans="3:12" x14ac:dyDescent="0.25">
      <c r="C24" s="75"/>
      <c r="D24" s="75"/>
      <c r="E24" s="75"/>
      <c r="F24" s="75"/>
      <c r="G24" s="75"/>
      <c r="H24" s="75"/>
      <c r="I24" s="24"/>
    </row>
  </sheetData>
  <mergeCells count="18">
    <mergeCell ref="B2:I3"/>
    <mergeCell ref="B7:B8"/>
    <mergeCell ref="C7:E8"/>
    <mergeCell ref="F7:F8"/>
    <mergeCell ref="G7:G8"/>
    <mergeCell ref="H7:H8"/>
    <mergeCell ref="C20:G20"/>
    <mergeCell ref="C9:E9"/>
    <mergeCell ref="B10:E10"/>
    <mergeCell ref="C11:E11"/>
    <mergeCell ref="C12:E12"/>
    <mergeCell ref="C13:E13"/>
    <mergeCell ref="B14:E14"/>
    <mergeCell ref="C15:G15"/>
    <mergeCell ref="C16:G16"/>
    <mergeCell ref="C17:G17"/>
    <mergeCell ref="C18:G18"/>
    <mergeCell ref="C19:G1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7:V35"/>
  <sheetViews>
    <sheetView topLeftCell="A16" workbookViewId="0">
      <selection activeCell="J33" sqref="J33"/>
    </sheetView>
  </sheetViews>
  <sheetFormatPr defaultRowHeight="15" x14ac:dyDescent="0.25"/>
  <cols>
    <col min="9" max="9" width="17" customWidth="1"/>
    <col min="10" max="10" width="9.5703125" bestFit="1" customWidth="1"/>
    <col min="11" max="11" width="16" customWidth="1"/>
    <col min="12" max="12" width="13.140625" customWidth="1"/>
    <col min="265" max="265" width="17" customWidth="1"/>
    <col min="266" max="266" width="9.5703125" bestFit="1" customWidth="1"/>
    <col min="267" max="267" width="16" customWidth="1"/>
    <col min="268" max="268" width="13.140625" customWidth="1"/>
    <col min="521" max="521" width="17" customWidth="1"/>
    <col min="522" max="522" width="9.5703125" bestFit="1" customWidth="1"/>
    <col min="523" max="523" width="16" customWidth="1"/>
    <col min="524" max="524" width="13.140625" customWidth="1"/>
    <col min="777" max="777" width="17" customWidth="1"/>
    <col min="778" max="778" width="9.5703125" bestFit="1" customWidth="1"/>
    <col min="779" max="779" width="16" customWidth="1"/>
    <col min="780" max="780" width="13.140625" customWidth="1"/>
    <col min="1033" max="1033" width="17" customWidth="1"/>
    <col min="1034" max="1034" width="9.5703125" bestFit="1" customWidth="1"/>
    <col min="1035" max="1035" width="16" customWidth="1"/>
    <col min="1036" max="1036" width="13.140625" customWidth="1"/>
    <col min="1289" max="1289" width="17" customWidth="1"/>
    <col min="1290" max="1290" width="9.5703125" bestFit="1" customWidth="1"/>
    <col min="1291" max="1291" width="16" customWidth="1"/>
    <col min="1292" max="1292" width="13.140625" customWidth="1"/>
    <col min="1545" max="1545" width="17" customWidth="1"/>
    <col min="1546" max="1546" width="9.5703125" bestFit="1" customWidth="1"/>
    <col min="1547" max="1547" width="16" customWidth="1"/>
    <col min="1548" max="1548" width="13.140625" customWidth="1"/>
    <col min="1801" max="1801" width="17" customWidth="1"/>
    <col min="1802" max="1802" width="9.5703125" bestFit="1" customWidth="1"/>
    <col min="1803" max="1803" width="16" customWidth="1"/>
    <col min="1804" max="1804" width="13.140625" customWidth="1"/>
    <col min="2057" max="2057" width="17" customWidth="1"/>
    <col min="2058" max="2058" width="9.5703125" bestFit="1" customWidth="1"/>
    <col min="2059" max="2059" width="16" customWidth="1"/>
    <col min="2060" max="2060" width="13.140625" customWidth="1"/>
    <col min="2313" max="2313" width="17" customWidth="1"/>
    <col min="2314" max="2314" width="9.5703125" bestFit="1" customWidth="1"/>
    <col min="2315" max="2315" width="16" customWidth="1"/>
    <col min="2316" max="2316" width="13.140625" customWidth="1"/>
    <col min="2569" max="2569" width="17" customWidth="1"/>
    <col min="2570" max="2570" width="9.5703125" bestFit="1" customWidth="1"/>
    <col min="2571" max="2571" width="16" customWidth="1"/>
    <col min="2572" max="2572" width="13.140625" customWidth="1"/>
    <col min="2825" max="2825" width="17" customWidth="1"/>
    <col min="2826" max="2826" width="9.5703125" bestFit="1" customWidth="1"/>
    <col min="2827" max="2827" width="16" customWidth="1"/>
    <col min="2828" max="2828" width="13.140625" customWidth="1"/>
    <col min="3081" max="3081" width="17" customWidth="1"/>
    <col min="3082" max="3082" width="9.5703125" bestFit="1" customWidth="1"/>
    <col min="3083" max="3083" width="16" customWidth="1"/>
    <col min="3084" max="3084" width="13.140625" customWidth="1"/>
    <col min="3337" max="3337" width="17" customWidth="1"/>
    <col min="3338" max="3338" width="9.5703125" bestFit="1" customWidth="1"/>
    <col min="3339" max="3339" width="16" customWidth="1"/>
    <col min="3340" max="3340" width="13.140625" customWidth="1"/>
    <col min="3593" max="3593" width="17" customWidth="1"/>
    <col min="3594" max="3594" width="9.5703125" bestFit="1" customWidth="1"/>
    <col min="3595" max="3595" width="16" customWidth="1"/>
    <col min="3596" max="3596" width="13.140625" customWidth="1"/>
    <col min="3849" max="3849" width="17" customWidth="1"/>
    <col min="3850" max="3850" width="9.5703125" bestFit="1" customWidth="1"/>
    <col min="3851" max="3851" width="16" customWidth="1"/>
    <col min="3852" max="3852" width="13.140625" customWidth="1"/>
    <col min="4105" max="4105" width="17" customWidth="1"/>
    <col min="4106" max="4106" width="9.5703125" bestFit="1" customWidth="1"/>
    <col min="4107" max="4107" width="16" customWidth="1"/>
    <col min="4108" max="4108" width="13.140625" customWidth="1"/>
    <col min="4361" max="4361" width="17" customWidth="1"/>
    <col min="4362" max="4362" width="9.5703125" bestFit="1" customWidth="1"/>
    <col min="4363" max="4363" width="16" customWidth="1"/>
    <col min="4364" max="4364" width="13.140625" customWidth="1"/>
    <col min="4617" max="4617" width="17" customWidth="1"/>
    <col min="4618" max="4618" width="9.5703125" bestFit="1" customWidth="1"/>
    <col min="4619" max="4619" width="16" customWidth="1"/>
    <col min="4620" max="4620" width="13.140625" customWidth="1"/>
    <col min="4873" max="4873" width="17" customWidth="1"/>
    <col min="4874" max="4874" width="9.5703125" bestFit="1" customWidth="1"/>
    <col min="4875" max="4875" width="16" customWidth="1"/>
    <col min="4876" max="4876" width="13.140625" customWidth="1"/>
    <col min="5129" max="5129" width="17" customWidth="1"/>
    <col min="5130" max="5130" width="9.5703125" bestFit="1" customWidth="1"/>
    <col min="5131" max="5131" width="16" customWidth="1"/>
    <col min="5132" max="5132" width="13.140625" customWidth="1"/>
    <col min="5385" max="5385" width="17" customWidth="1"/>
    <col min="5386" max="5386" width="9.5703125" bestFit="1" customWidth="1"/>
    <col min="5387" max="5387" width="16" customWidth="1"/>
    <col min="5388" max="5388" width="13.140625" customWidth="1"/>
    <col min="5641" max="5641" width="17" customWidth="1"/>
    <col min="5642" max="5642" width="9.5703125" bestFit="1" customWidth="1"/>
    <col min="5643" max="5643" width="16" customWidth="1"/>
    <col min="5644" max="5644" width="13.140625" customWidth="1"/>
    <col min="5897" max="5897" width="17" customWidth="1"/>
    <col min="5898" max="5898" width="9.5703125" bestFit="1" customWidth="1"/>
    <col min="5899" max="5899" width="16" customWidth="1"/>
    <col min="5900" max="5900" width="13.140625" customWidth="1"/>
    <col min="6153" max="6153" width="17" customWidth="1"/>
    <col min="6154" max="6154" width="9.5703125" bestFit="1" customWidth="1"/>
    <col min="6155" max="6155" width="16" customWidth="1"/>
    <col min="6156" max="6156" width="13.140625" customWidth="1"/>
    <col min="6409" max="6409" width="17" customWidth="1"/>
    <col min="6410" max="6410" width="9.5703125" bestFit="1" customWidth="1"/>
    <col min="6411" max="6411" width="16" customWidth="1"/>
    <col min="6412" max="6412" width="13.140625" customWidth="1"/>
    <col min="6665" max="6665" width="17" customWidth="1"/>
    <col min="6666" max="6666" width="9.5703125" bestFit="1" customWidth="1"/>
    <col min="6667" max="6667" width="16" customWidth="1"/>
    <col min="6668" max="6668" width="13.140625" customWidth="1"/>
    <col min="6921" max="6921" width="17" customWidth="1"/>
    <col min="6922" max="6922" width="9.5703125" bestFit="1" customWidth="1"/>
    <col min="6923" max="6923" width="16" customWidth="1"/>
    <col min="6924" max="6924" width="13.140625" customWidth="1"/>
    <col min="7177" max="7177" width="17" customWidth="1"/>
    <col min="7178" max="7178" width="9.5703125" bestFit="1" customWidth="1"/>
    <col min="7179" max="7179" width="16" customWidth="1"/>
    <col min="7180" max="7180" width="13.140625" customWidth="1"/>
    <col min="7433" max="7433" width="17" customWidth="1"/>
    <col min="7434" max="7434" width="9.5703125" bestFit="1" customWidth="1"/>
    <col min="7435" max="7435" width="16" customWidth="1"/>
    <col min="7436" max="7436" width="13.140625" customWidth="1"/>
    <col min="7689" max="7689" width="17" customWidth="1"/>
    <col min="7690" max="7690" width="9.5703125" bestFit="1" customWidth="1"/>
    <col min="7691" max="7691" width="16" customWidth="1"/>
    <col min="7692" max="7692" width="13.140625" customWidth="1"/>
    <col min="7945" max="7945" width="17" customWidth="1"/>
    <col min="7946" max="7946" width="9.5703125" bestFit="1" customWidth="1"/>
    <col min="7947" max="7947" width="16" customWidth="1"/>
    <col min="7948" max="7948" width="13.140625" customWidth="1"/>
    <col min="8201" max="8201" width="17" customWidth="1"/>
    <col min="8202" max="8202" width="9.5703125" bestFit="1" customWidth="1"/>
    <col min="8203" max="8203" width="16" customWidth="1"/>
    <col min="8204" max="8204" width="13.140625" customWidth="1"/>
    <col min="8457" max="8457" width="17" customWidth="1"/>
    <col min="8458" max="8458" width="9.5703125" bestFit="1" customWidth="1"/>
    <col min="8459" max="8459" width="16" customWidth="1"/>
    <col min="8460" max="8460" width="13.140625" customWidth="1"/>
    <col min="8713" max="8713" width="17" customWidth="1"/>
    <col min="8714" max="8714" width="9.5703125" bestFit="1" customWidth="1"/>
    <col min="8715" max="8715" width="16" customWidth="1"/>
    <col min="8716" max="8716" width="13.140625" customWidth="1"/>
    <col min="8969" max="8969" width="17" customWidth="1"/>
    <col min="8970" max="8970" width="9.5703125" bestFit="1" customWidth="1"/>
    <col min="8971" max="8971" width="16" customWidth="1"/>
    <col min="8972" max="8972" width="13.140625" customWidth="1"/>
    <col min="9225" max="9225" width="17" customWidth="1"/>
    <col min="9226" max="9226" width="9.5703125" bestFit="1" customWidth="1"/>
    <col min="9227" max="9227" width="16" customWidth="1"/>
    <col min="9228" max="9228" width="13.140625" customWidth="1"/>
    <col min="9481" max="9481" width="17" customWidth="1"/>
    <col min="9482" max="9482" width="9.5703125" bestFit="1" customWidth="1"/>
    <col min="9483" max="9483" width="16" customWidth="1"/>
    <col min="9484" max="9484" width="13.140625" customWidth="1"/>
    <col min="9737" max="9737" width="17" customWidth="1"/>
    <col min="9738" max="9738" width="9.5703125" bestFit="1" customWidth="1"/>
    <col min="9739" max="9739" width="16" customWidth="1"/>
    <col min="9740" max="9740" width="13.140625" customWidth="1"/>
    <col min="9993" max="9993" width="17" customWidth="1"/>
    <col min="9994" max="9994" width="9.5703125" bestFit="1" customWidth="1"/>
    <col min="9995" max="9995" width="16" customWidth="1"/>
    <col min="9996" max="9996" width="13.140625" customWidth="1"/>
    <col min="10249" max="10249" width="17" customWidth="1"/>
    <col min="10250" max="10250" width="9.5703125" bestFit="1" customWidth="1"/>
    <col min="10251" max="10251" width="16" customWidth="1"/>
    <col min="10252" max="10252" width="13.140625" customWidth="1"/>
    <col min="10505" max="10505" width="17" customWidth="1"/>
    <col min="10506" max="10506" width="9.5703125" bestFit="1" customWidth="1"/>
    <col min="10507" max="10507" width="16" customWidth="1"/>
    <col min="10508" max="10508" width="13.140625" customWidth="1"/>
    <col min="10761" max="10761" width="17" customWidth="1"/>
    <col min="10762" max="10762" width="9.5703125" bestFit="1" customWidth="1"/>
    <col min="10763" max="10763" width="16" customWidth="1"/>
    <col min="10764" max="10764" width="13.140625" customWidth="1"/>
    <col min="11017" max="11017" width="17" customWidth="1"/>
    <col min="11018" max="11018" width="9.5703125" bestFit="1" customWidth="1"/>
    <col min="11019" max="11019" width="16" customWidth="1"/>
    <col min="11020" max="11020" width="13.140625" customWidth="1"/>
    <col min="11273" max="11273" width="17" customWidth="1"/>
    <col min="11274" max="11274" width="9.5703125" bestFit="1" customWidth="1"/>
    <col min="11275" max="11275" width="16" customWidth="1"/>
    <col min="11276" max="11276" width="13.140625" customWidth="1"/>
    <col min="11529" max="11529" width="17" customWidth="1"/>
    <col min="11530" max="11530" width="9.5703125" bestFit="1" customWidth="1"/>
    <col min="11531" max="11531" width="16" customWidth="1"/>
    <col min="11532" max="11532" width="13.140625" customWidth="1"/>
    <col min="11785" max="11785" width="17" customWidth="1"/>
    <col min="11786" max="11786" width="9.5703125" bestFit="1" customWidth="1"/>
    <col min="11787" max="11787" width="16" customWidth="1"/>
    <col min="11788" max="11788" width="13.140625" customWidth="1"/>
    <col min="12041" max="12041" width="17" customWidth="1"/>
    <col min="12042" max="12042" width="9.5703125" bestFit="1" customWidth="1"/>
    <col min="12043" max="12043" width="16" customWidth="1"/>
    <col min="12044" max="12044" width="13.140625" customWidth="1"/>
    <col min="12297" max="12297" width="17" customWidth="1"/>
    <col min="12298" max="12298" width="9.5703125" bestFit="1" customWidth="1"/>
    <col min="12299" max="12299" width="16" customWidth="1"/>
    <col min="12300" max="12300" width="13.140625" customWidth="1"/>
    <col min="12553" max="12553" width="17" customWidth="1"/>
    <col min="12554" max="12554" width="9.5703125" bestFit="1" customWidth="1"/>
    <col min="12555" max="12555" width="16" customWidth="1"/>
    <col min="12556" max="12556" width="13.140625" customWidth="1"/>
    <col min="12809" max="12809" width="17" customWidth="1"/>
    <col min="12810" max="12810" width="9.5703125" bestFit="1" customWidth="1"/>
    <col min="12811" max="12811" width="16" customWidth="1"/>
    <col min="12812" max="12812" width="13.140625" customWidth="1"/>
    <col min="13065" max="13065" width="17" customWidth="1"/>
    <col min="13066" max="13066" width="9.5703125" bestFit="1" customWidth="1"/>
    <col min="13067" max="13067" width="16" customWidth="1"/>
    <col min="13068" max="13068" width="13.140625" customWidth="1"/>
    <col min="13321" max="13321" width="17" customWidth="1"/>
    <col min="13322" max="13322" width="9.5703125" bestFit="1" customWidth="1"/>
    <col min="13323" max="13323" width="16" customWidth="1"/>
    <col min="13324" max="13324" width="13.140625" customWidth="1"/>
    <col min="13577" max="13577" width="17" customWidth="1"/>
    <col min="13578" max="13578" width="9.5703125" bestFit="1" customWidth="1"/>
    <col min="13579" max="13579" width="16" customWidth="1"/>
    <col min="13580" max="13580" width="13.140625" customWidth="1"/>
    <col min="13833" max="13833" width="17" customWidth="1"/>
    <col min="13834" max="13834" width="9.5703125" bestFit="1" customWidth="1"/>
    <col min="13835" max="13835" width="16" customWidth="1"/>
    <col min="13836" max="13836" width="13.140625" customWidth="1"/>
    <col min="14089" max="14089" width="17" customWidth="1"/>
    <col min="14090" max="14090" width="9.5703125" bestFit="1" customWidth="1"/>
    <col min="14091" max="14091" width="16" customWidth="1"/>
    <col min="14092" max="14092" width="13.140625" customWidth="1"/>
    <col min="14345" max="14345" width="17" customWidth="1"/>
    <col min="14346" max="14346" width="9.5703125" bestFit="1" customWidth="1"/>
    <col min="14347" max="14347" width="16" customWidth="1"/>
    <col min="14348" max="14348" width="13.140625" customWidth="1"/>
    <col min="14601" max="14601" width="17" customWidth="1"/>
    <col min="14602" max="14602" width="9.5703125" bestFit="1" customWidth="1"/>
    <col min="14603" max="14603" width="16" customWidth="1"/>
    <col min="14604" max="14604" width="13.140625" customWidth="1"/>
    <col min="14857" max="14857" width="17" customWidth="1"/>
    <col min="14858" max="14858" width="9.5703125" bestFit="1" customWidth="1"/>
    <col min="14859" max="14859" width="16" customWidth="1"/>
    <col min="14860" max="14860" width="13.140625" customWidth="1"/>
    <col min="15113" max="15113" width="17" customWidth="1"/>
    <col min="15114" max="15114" width="9.5703125" bestFit="1" customWidth="1"/>
    <col min="15115" max="15115" width="16" customWidth="1"/>
    <col min="15116" max="15116" width="13.140625" customWidth="1"/>
    <col min="15369" max="15369" width="17" customWidth="1"/>
    <col min="15370" max="15370" width="9.5703125" bestFit="1" customWidth="1"/>
    <col min="15371" max="15371" width="16" customWidth="1"/>
    <col min="15372" max="15372" width="13.140625" customWidth="1"/>
    <col min="15625" max="15625" width="17" customWidth="1"/>
    <col min="15626" max="15626" width="9.5703125" bestFit="1" customWidth="1"/>
    <col min="15627" max="15627" width="16" customWidth="1"/>
    <col min="15628" max="15628" width="13.140625" customWidth="1"/>
    <col min="15881" max="15881" width="17" customWidth="1"/>
    <col min="15882" max="15882" width="9.5703125" bestFit="1" customWidth="1"/>
    <col min="15883" max="15883" width="16" customWidth="1"/>
    <col min="15884" max="15884" width="13.140625" customWidth="1"/>
    <col min="16137" max="16137" width="17" customWidth="1"/>
    <col min="16138" max="16138" width="9.5703125" bestFit="1" customWidth="1"/>
    <col min="16139" max="16139" width="16" customWidth="1"/>
    <col min="16140" max="16140" width="13.140625" customWidth="1"/>
  </cols>
  <sheetData>
    <row r="7" spans="4:17" ht="15.75" thickBot="1" x14ac:dyDescent="0.3"/>
    <row r="8" spans="4:17" x14ac:dyDescent="0.25">
      <c r="D8" s="115" t="s">
        <v>62</v>
      </c>
      <c r="E8" s="116"/>
      <c r="F8" s="116"/>
      <c r="G8" s="116"/>
      <c r="H8" s="116"/>
      <c r="I8" s="116"/>
      <c r="J8" s="116"/>
      <c r="K8" s="117"/>
    </row>
    <row r="9" spans="4:17" ht="15.75" thickBot="1" x14ac:dyDescent="0.3">
      <c r="D9" s="118"/>
      <c r="E9" s="119"/>
      <c r="F9" s="119"/>
      <c r="G9" s="119"/>
      <c r="H9" s="119"/>
      <c r="I9" s="119"/>
      <c r="J9" s="119"/>
      <c r="K9" s="120"/>
    </row>
    <row r="12" spans="4:17" ht="15.75" thickBot="1" x14ac:dyDescent="0.3"/>
    <row r="13" spans="4:17" x14ac:dyDescent="0.25">
      <c r="D13" s="121" t="s">
        <v>0</v>
      </c>
      <c r="E13" s="123" t="s">
        <v>1</v>
      </c>
      <c r="F13" s="124"/>
      <c r="G13" s="125"/>
      <c r="H13" s="121" t="s">
        <v>2</v>
      </c>
      <c r="I13" s="129" t="s">
        <v>3</v>
      </c>
      <c r="J13" s="157" t="s">
        <v>61</v>
      </c>
      <c r="K13" s="121" t="s">
        <v>5</v>
      </c>
    </row>
    <row r="14" spans="4:17" ht="15.75" thickBot="1" x14ac:dyDescent="0.3">
      <c r="D14" s="122"/>
      <c r="E14" s="126"/>
      <c r="F14" s="127"/>
      <c r="G14" s="128"/>
      <c r="H14" s="122"/>
      <c r="I14" s="130"/>
      <c r="J14" s="158"/>
      <c r="K14" s="122"/>
    </row>
    <row r="15" spans="4:17" ht="15.75" thickBot="1" x14ac:dyDescent="0.3">
      <c r="D15" s="3">
        <v>1</v>
      </c>
      <c r="E15" s="100" t="s">
        <v>6</v>
      </c>
      <c r="F15" s="101"/>
      <c r="G15" s="102"/>
      <c r="H15" s="4">
        <v>170</v>
      </c>
      <c r="I15" s="5">
        <v>1.62</v>
      </c>
      <c r="J15" s="51">
        <f t="shared" ref="J15:J25" si="0">+H15*I15</f>
        <v>275.40000000000003</v>
      </c>
      <c r="K15" s="5">
        <f t="shared" ref="K15:K25" si="1">J15</f>
        <v>275.40000000000003</v>
      </c>
    </row>
    <row r="16" spans="4:17" ht="15.75" thickBot="1" x14ac:dyDescent="0.3">
      <c r="D16" s="3">
        <v>2</v>
      </c>
      <c r="E16" s="100" t="s">
        <v>59</v>
      </c>
      <c r="F16" s="101"/>
      <c r="G16" s="102"/>
      <c r="H16" s="4">
        <v>212</v>
      </c>
      <c r="I16" s="5">
        <v>2.2000000000000002</v>
      </c>
      <c r="J16" s="51">
        <f t="shared" si="0"/>
        <v>466.40000000000003</v>
      </c>
      <c r="K16" s="5">
        <f t="shared" si="1"/>
        <v>466.40000000000003</v>
      </c>
      <c r="L16" s="169"/>
      <c r="M16" s="170"/>
      <c r="N16" s="170"/>
      <c r="O16" s="170"/>
      <c r="P16" s="170"/>
      <c r="Q16" s="170"/>
    </row>
    <row r="17" spans="4:11" ht="15.75" thickBot="1" x14ac:dyDescent="0.3">
      <c r="D17" s="3">
        <v>3</v>
      </c>
      <c r="E17" s="100" t="s">
        <v>9</v>
      </c>
      <c r="F17" s="101"/>
      <c r="G17" s="102"/>
      <c r="H17" s="6">
        <v>20</v>
      </c>
      <c r="I17" s="5">
        <v>1.66</v>
      </c>
      <c r="J17" s="51">
        <f t="shared" si="0"/>
        <v>33.199999999999996</v>
      </c>
      <c r="K17" s="5">
        <f t="shared" si="1"/>
        <v>33.199999999999996</v>
      </c>
    </row>
    <row r="18" spans="4:11" ht="15.75" thickBot="1" x14ac:dyDescent="0.3">
      <c r="D18" s="3">
        <v>4</v>
      </c>
      <c r="E18" s="100" t="s">
        <v>10</v>
      </c>
      <c r="F18" s="101"/>
      <c r="G18" s="102"/>
      <c r="H18" s="6"/>
      <c r="I18" s="5"/>
      <c r="J18" s="51">
        <f t="shared" si="0"/>
        <v>0</v>
      </c>
      <c r="K18" s="5">
        <f t="shared" si="1"/>
        <v>0</v>
      </c>
    </row>
    <row r="19" spans="4:11" ht="15.75" thickBot="1" x14ac:dyDescent="0.3">
      <c r="D19" s="3">
        <v>5</v>
      </c>
      <c r="E19" s="100" t="s">
        <v>11</v>
      </c>
      <c r="F19" s="101"/>
      <c r="G19" s="102"/>
      <c r="H19" s="6">
        <v>3</v>
      </c>
      <c r="I19" s="5">
        <v>3.99</v>
      </c>
      <c r="J19" s="51">
        <f t="shared" si="0"/>
        <v>11.97</v>
      </c>
      <c r="K19" s="5">
        <f t="shared" si="1"/>
        <v>11.97</v>
      </c>
    </row>
    <row r="20" spans="4:11" ht="15.75" thickBot="1" x14ac:dyDescent="0.3">
      <c r="D20" s="3">
        <v>6</v>
      </c>
      <c r="E20" s="100" t="s">
        <v>12</v>
      </c>
      <c r="F20" s="101"/>
      <c r="G20" s="102"/>
      <c r="H20" s="6">
        <v>6</v>
      </c>
      <c r="I20" s="5">
        <v>6.23</v>
      </c>
      <c r="J20" s="51">
        <f t="shared" si="0"/>
        <v>37.380000000000003</v>
      </c>
      <c r="K20" s="5">
        <f t="shared" si="1"/>
        <v>37.380000000000003</v>
      </c>
    </row>
    <row r="21" spans="4:11" ht="15.75" thickBot="1" x14ac:dyDescent="0.3">
      <c r="D21" s="3">
        <v>7</v>
      </c>
      <c r="E21" s="100" t="s">
        <v>13</v>
      </c>
      <c r="F21" s="101"/>
      <c r="G21" s="102"/>
      <c r="H21" s="6">
        <v>330</v>
      </c>
      <c r="I21" s="5">
        <v>0.15</v>
      </c>
      <c r="J21" s="51">
        <f t="shared" si="0"/>
        <v>49.5</v>
      </c>
      <c r="K21" s="5">
        <f>J21</f>
        <v>49.5</v>
      </c>
    </row>
    <row r="22" spans="4:11" ht="15.75" thickBot="1" x14ac:dyDescent="0.3">
      <c r="D22" s="3">
        <v>8</v>
      </c>
      <c r="E22" s="100" t="s">
        <v>15</v>
      </c>
      <c r="F22" s="101"/>
      <c r="G22" s="102"/>
      <c r="H22" s="6">
        <v>20</v>
      </c>
      <c r="I22" s="5">
        <v>3.56</v>
      </c>
      <c r="J22" s="51">
        <f t="shared" si="0"/>
        <v>71.2</v>
      </c>
      <c r="K22" s="5">
        <f>J22</f>
        <v>71.2</v>
      </c>
    </row>
    <row r="23" spans="4:11" ht="15.75" thickBot="1" x14ac:dyDescent="0.3">
      <c r="D23" s="3">
        <v>9</v>
      </c>
      <c r="E23" s="100" t="s">
        <v>14</v>
      </c>
      <c r="F23" s="101"/>
      <c r="G23" s="102"/>
      <c r="H23" s="6">
        <v>240</v>
      </c>
      <c r="I23" s="5">
        <v>0.17</v>
      </c>
      <c r="J23" s="51">
        <f t="shared" si="0"/>
        <v>40.800000000000004</v>
      </c>
      <c r="K23" s="5">
        <f t="shared" si="1"/>
        <v>40.800000000000004</v>
      </c>
    </row>
    <row r="24" spans="4:11" ht="15.75" thickBot="1" x14ac:dyDescent="0.3">
      <c r="D24" s="3">
        <v>10</v>
      </c>
      <c r="E24" s="100" t="s">
        <v>50</v>
      </c>
      <c r="F24" s="101"/>
      <c r="G24" s="102"/>
      <c r="H24" s="6">
        <v>24</v>
      </c>
      <c r="I24" s="5">
        <v>11.25</v>
      </c>
      <c r="J24" s="51">
        <f t="shared" si="0"/>
        <v>270</v>
      </c>
      <c r="K24" s="5">
        <f t="shared" si="1"/>
        <v>270</v>
      </c>
    </row>
    <row r="25" spans="4:11" ht="15.75" thickBot="1" x14ac:dyDescent="0.3">
      <c r="D25" s="3">
        <v>11</v>
      </c>
      <c r="E25" s="100" t="s">
        <v>51</v>
      </c>
      <c r="F25" s="101"/>
      <c r="G25" s="102"/>
      <c r="H25" s="6">
        <v>3.2</v>
      </c>
      <c r="I25" s="5">
        <v>2.4500000000000002</v>
      </c>
      <c r="J25" s="51">
        <f t="shared" si="0"/>
        <v>7.8400000000000007</v>
      </c>
      <c r="K25" s="5">
        <f t="shared" si="1"/>
        <v>7.8400000000000007</v>
      </c>
    </row>
    <row r="26" spans="4:11" ht="15.75" thickBot="1" x14ac:dyDescent="0.3">
      <c r="D26" s="103" t="s">
        <v>17</v>
      </c>
      <c r="E26" s="104"/>
      <c r="F26" s="104"/>
      <c r="G26" s="105"/>
      <c r="H26" s="7">
        <f>SUM(H15:H25)</f>
        <v>1028.2</v>
      </c>
      <c r="I26" s="8"/>
      <c r="J26" s="25">
        <f>SUM(J15:J25)</f>
        <v>1263.69</v>
      </c>
      <c r="K26" s="76">
        <f>SUM(K15:K25)</f>
        <v>1263.69</v>
      </c>
    </row>
    <row r="27" spans="4:11" ht="15.75" thickBot="1" x14ac:dyDescent="0.3">
      <c r="D27" s="3">
        <v>1</v>
      </c>
      <c r="E27" s="100" t="s">
        <v>18</v>
      </c>
      <c r="F27" s="101"/>
      <c r="G27" s="102"/>
      <c r="H27" s="6">
        <v>39</v>
      </c>
      <c r="I27" s="5">
        <v>2.98</v>
      </c>
      <c r="J27" s="51">
        <f>+H27*I27</f>
        <v>116.22</v>
      </c>
      <c r="K27" s="6"/>
    </row>
    <row r="28" spans="4:11" ht="15.75" thickBot="1" x14ac:dyDescent="0.3">
      <c r="D28" s="11">
        <v>2</v>
      </c>
      <c r="E28" s="100" t="s">
        <v>19</v>
      </c>
      <c r="F28" s="101"/>
      <c r="G28" s="102"/>
      <c r="H28" s="12">
        <v>39</v>
      </c>
      <c r="I28" s="13">
        <v>0.13</v>
      </c>
      <c r="J28" s="56">
        <f>+H28*I28</f>
        <v>5.07</v>
      </c>
      <c r="K28" s="6"/>
    </row>
    <row r="29" spans="4:11" ht="15.75" thickBot="1" x14ac:dyDescent="0.3">
      <c r="D29" s="103" t="s">
        <v>17</v>
      </c>
      <c r="E29" s="104"/>
      <c r="F29" s="104"/>
      <c r="G29" s="105"/>
      <c r="H29" s="8"/>
      <c r="I29" s="8"/>
      <c r="J29" s="58">
        <f>SUM(J27:J28)</f>
        <v>121.28999999999999</v>
      </c>
      <c r="K29" s="12"/>
    </row>
    <row r="30" spans="4:11" ht="15.75" thickBot="1" x14ac:dyDescent="0.3">
      <c r="E30" s="97" t="s">
        <v>63</v>
      </c>
      <c r="F30" s="133"/>
      <c r="G30" s="133"/>
      <c r="H30" s="133"/>
      <c r="I30" s="134"/>
      <c r="J30" s="15">
        <f>SUM(J29,J26)</f>
        <v>1384.98</v>
      </c>
      <c r="K30" s="17">
        <f>K26+K29</f>
        <v>1263.69</v>
      </c>
    </row>
    <row r="31" spans="4:11" ht="15.75" thickBot="1" x14ac:dyDescent="0.3">
      <c r="E31" s="108" t="s">
        <v>20</v>
      </c>
      <c r="F31" s="109"/>
      <c r="G31" s="109"/>
      <c r="H31" s="109"/>
      <c r="I31" s="110"/>
      <c r="J31" s="5">
        <f>J30*0.2</f>
        <v>276.99600000000004</v>
      </c>
      <c r="K31" s="6">
        <f>K30*0.2</f>
        <v>252.73800000000003</v>
      </c>
    </row>
    <row r="32" spans="4:11" ht="15.75" thickBot="1" x14ac:dyDescent="0.3">
      <c r="E32" s="97" t="s">
        <v>21</v>
      </c>
      <c r="F32" s="98"/>
      <c r="G32" s="98"/>
      <c r="H32" s="98"/>
      <c r="I32" s="99"/>
      <c r="J32" s="16">
        <f>SUM(J30:J31)</f>
        <v>1661.9760000000001</v>
      </c>
      <c r="K32" s="17">
        <f>K30+K31</f>
        <v>1516.4280000000001</v>
      </c>
    </row>
    <row r="33" spans="5:22" ht="15.75" thickBot="1" x14ac:dyDescent="0.3">
      <c r="E33" s="85" t="s">
        <v>60</v>
      </c>
      <c r="F33" s="86"/>
      <c r="G33" s="86"/>
      <c r="H33" s="86"/>
      <c r="I33" s="87"/>
      <c r="J33" s="18">
        <f>+J32/1010</f>
        <v>1.6455207920792081</v>
      </c>
      <c r="K33" s="77">
        <f>K32/1000</f>
        <v>1.5164280000000001</v>
      </c>
    </row>
    <row r="34" spans="5:22" ht="15.75" thickBot="1" x14ac:dyDescent="0.3">
      <c r="E34" s="88"/>
      <c r="F34" s="89"/>
      <c r="G34" s="89"/>
      <c r="H34" s="89"/>
      <c r="I34" s="90"/>
      <c r="J34" s="22"/>
      <c r="K34" s="5"/>
      <c r="L34" s="167"/>
      <c r="M34" s="168"/>
      <c r="N34" s="168"/>
      <c r="O34" s="168"/>
      <c r="P34" s="168"/>
      <c r="Q34" s="168"/>
      <c r="R34" s="168"/>
      <c r="S34" s="168"/>
      <c r="T34" s="168"/>
      <c r="U34" s="168"/>
      <c r="V34" s="78"/>
    </row>
    <row r="35" spans="5:22" x14ac:dyDescent="0.25">
      <c r="E35" s="88"/>
      <c r="F35" s="89"/>
      <c r="G35" s="89"/>
      <c r="H35" s="89"/>
      <c r="I35" s="90"/>
      <c r="J35" s="19"/>
      <c r="K35" s="79"/>
    </row>
  </sheetData>
  <mergeCells count="30">
    <mergeCell ref="D8:K9"/>
    <mergeCell ref="D13:D14"/>
    <mergeCell ref="E13:G14"/>
    <mergeCell ref="H13:H14"/>
    <mergeCell ref="I13:I14"/>
    <mergeCell ref="J13:J14"/>
    <mergeCell ref="K13:K14"/>
    <mergeCell ref="D26:G26"/>
    <mergeCell ref="E15:G15"/>
    <mergeCell ref="E16:G16"/>
    <mergeCell ref="L16:Q16"/>
    <mergeCell ref="E17:G17"/>
    <mergeCell ref="E18:G18"/>
    <mergeCell ref="E19:G19"/>
    <mergeCell ref="E20:G20"/>
    <mergeCell ref="E21:G21"/>
    <mergeCell ref="E23:G23"/>
    <mergeCell ref="E24:G24"/>
    <mergeCell ref="E25:G25"/>
    <mergeCell ref="E22:G22"/>
    <mergeCell ref="E33:I33"/>
    <mergeCell ref="E34:I34"/>
    <mergeCell ref="L34:U34"/>
    <mergeCell ref="E35:I35"/>
    <mergeCell ref="E27:G27"/>
    <mergeCell ref="E28:G28"/>
    <mergeCell ref="D29:G29"/>
    <mergeCell ref="E30:I30"/>
    <mergeCell ref="E31:I31"/>
    <mergeCell ref="E32:I3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5:X41"/>
  <sheetViews>
    <sheetView topLeftCell="A13" workbookViewId="0">
      <selection activeCell="H16" sqref="H16:O17"/>
    </sheetView>
  </sheetViews>
  <sheetFormatPr defaultColWidth="9.140625" defaultRowHeight="15" x14ac:dyDescent="0.25"/>
  <sheetData>
    <row r="15" spans="8:15" ht="15.75" thickBot="1" x14ac:dyDescent="0.3"/>
    <row r="16" spans="8:15" x14ac:dyDescent="0.25">
      <c r="H16" s="184" t="s">
        <v>81</v>
      </c>
      <c r="I16" s="185"/>
      <c r="J16" s="185"/>
      <c r="K16" s="185"/>
      <c r="L16" s="185"/>
      <c r="M16" s="185"/>
      <c r="N16" s="185"/>
      <c r="O16" s="186"/>
    </row>
    <row r="17" spans="5:20" ht="15.75" thickBot="1" x14ac:dyDescent="0.3">
      <c r="H17" s="187"/>
      <c r="I17" s="188"/>
      <c r="J17" s="188"/>
      <c r="K17" s="188"/>
      <c r="L17" s="188"/>
      <c r="M17" s="188"/>
      <c r="N17" s="188"/>
      <c r="O17" s="189"/>
    </row>
    <row r="20" spans="5:20" ht="15.75" thickBot="1" x14ac:dyDescent="0.3">
      <c r="E20" s="37"/>
    </row>
    <row r="21" spans="5:20" x14ac:dyDescent="0.25">
      <c r="H21" s="121" t="s">
        <v>0</v>
      </c>
      <c r="I21" s="123" t="s">
        <v>1</v>
      </c>
      <c r="J21" s="124"/>
      <c r="K21" s="125"/>
      <c r="L21" s="121" t="s">
        <v>2</v>
      </c>
      <c r="M21" s="129" t="s">
        <v>3</v>
      </c>
      <c r="N21" s="129" t="s">
        <v>29</v>
      </c>
    </row>
    <row r="22" spans="5:20" ht="15.75" thickBot="1" x14ac:dyDescent="0.3">
      <c r="H22" s="122"/>
      <c r="I22" s="126"/>
      <c r="J22" s="127"/>
      <c r="K22" s="128"/>
      <c r="L22" s="122"/>
      <c r="M22" s="130"/>
      <c r="N22" s="130"/>
    </row>
    <row r="23" spans="5:20" ht="15.75" thickBot="1" x14ac:dyDescent="0.3">
      <c r="H23" s="3">
        <v>1</v>
      </c>
      <c r="I23" s="100" t="s">
        <v>6</v>
      </c>
      <c r="J23" s="101"/>
      <c r="K23" s="102"/>
      <c r="L23" s="4">
        <v>170</v>
      </c>
      <c r="M23" s="5">
        <v>1.62</v>
      </c>
      <c r="N23" s="5">
        <f t="shared" ref="N23:N31" si="0">+L23*M23</f>
        <v>275.40000000000003</v>
      </c>
    </row>
    <row r="24" spans="5:20" ht="15.75" thickBot="1" x14ac:dyDescent="0.3">
      <c r="H24" s="3">
        <v>2</v>
      </c>
      <c r="I24" s="100" t="s">
        <v>7</v>
      </c>
      <c r="J24" s="101"/>
      <c r="K24" s="102"/>
      <c r="L24" s="4">
        <v>212</v>
      </c>
      <c r="M24" s="5">
        <v>2.2000000000000002</v>
      </c>
      <c r="N24" s="5">
        <f t="shared" si="0"/>
        <v>466.40000000000003</v>
      </c>
      <c r="O24" s="169"/>
      <c r="P24" s="170"/>
      <c r="Q24" s="170"/>
      <c r="R24" s="170"/>
      <c r="S24" s="170"/>
      <c r="T24" s="170"/>
    </row>
    <row r="25" spans="5:20" ht="15.75" thickBot="1" x14ac:dyDescent="0.3">
      <c r="H25" s="3">
        <v>3</v>
      </c>
      <c r="I25" s="100" t="s">
        <v>9</v>
      </c>
      <c r="J25" s="101"/>
      <c r="K25" s="102"/>
      <c r="L25" s="6">
        <v>20</v>
      </c>
      <c r="M25" s="5">
        <v>1.66</v>
      </c>
      <c r="N25" s="5">
        <f t="shared" si="0"/>
        <v>33.199999999999996</v>
      </c>
    </row>
    <row r="26" spans="5:20" ht="15.75" thickBot="1" x14ac:dyDescent="0.3">
      <c r="H26" s="3">
        <v>4</v>
      </c>
      <c r="I26" s="100" t="s">
        <v>10</v>
      </c>
      <c r="J26" s="101"/>
      <c r="K26" s="102"/>
      <c r="L26" s="6"/>
      <c r="M26" s="5"/>
      <c r="N26" s="5">
        <f t="shared" si="0"/>
        <v>0</v>
      </c>
    </row>
    <row r="27" spans="5:20" ht="15.75" thickBot="1" x14ac:dyDescent="0.3">
      <c r="H27" s="3">
        <v>5</v>
      </c>
      <c r="I27" s="100" t="s">
        <v>11</v>
      </c>
      <c r="J27" s="101"/>
      <c r="K27" s="102"/>
      <c r="L27" s="6">
        <v>3</v>
      </c>
      <c r="M27" s="5">
        <v>3.99</v>
      </c>
      <c r="N27" s="5">
        <f t="shared" si="0"/>
        <v>11.97</v>
      </c>
    </row>
    <row r="28" spans="5:20" ht="15.75" thickBot="1" x14ac:dyDescent="0.3">
      <c r="H28" s="3">
        <v>6</v>
      </c>
      <c r="I28" s="100" t="s">
        <v>12</v>
      </c>
      <c r="J28" s="101"/>
      <c r="K28" s="102"/>
      <c r="L28" s="6">
        <v>6</v>
      </c>
      <c r="M28" s="5">
        <v>6.23</v>
      </c>
      <c r="N28" s="5">
        <f t="shared" si="0"/>
        <v>37.380000000000003</v>
      </c>
    </row>
    <row r="29" spans="5:20" ht="15.75" thickBot="1" x14ac:dyDescent="0.3">
      <c r="H29" s="3">
        <v>7</v>
      </c>
      <c r="I29" s="100" t="s">
        <v>13</v>
      </c>
      <c r="J29" s="101"/>
      <c r="K29" s="102"/>
      <c r="L29" s="6">
        <v>350</v>
      </c>
      <c r="M29" s="5">
        <v>0.15</v>
      </c>
      <c r="N29" s="5">
        <f t="shared" si="0"/>
        <v>52.5</v>
      </c>
    </row>
    <row r="30" spans="5:20" ht="15.75" thickBot="1" x14ac:dyDescent="0.3">
      <c r="H30" s="3">
        <v>8</v>
      </c>
      <c r="I30" s="100" t="s">
        <v>14</v>
      </c>
      <c r="J30" s="101"/>
      <c r="K30" s="102"/>
      <c r="L30" s="6">
        <v>240</v>
      </c>
      <c r="M30" s="5">
        <v>0.17</v>
      </c>
      <c r="N30" s="5">
        <f t="shared" si="0"/>
        <v>40.800000000000004</v>
      </c>
    </row>
    <row r="31" spans="5:20" ht="15.75" thickBot="1" x14ac:dyDescent="0.3">
      <c r="H31" s="3">
        <v>9</v>
      </c>
      <c r="I31" s="100" t="s">
        <v>52</v>
      </c>
      <c r="J31" s="101"/>
      <c r="K31" s="102"/>
      <c r="L31" s="6">
        <v>22</v>
      </c>
      <c r="M31" s="5">
        <f>4.8/1.95583</f>
        <v>2.4542010297418488</v>
      </c>
      <c r="N31" s="5">
        <f t="shared" si="0"/>
        <v>53.992422654320677</v>
      </c>
    </row>
    <row r="32" spans="5:20" ht="15.75" thickBot="1" x14ac:dyDescent="0.3">
      <c r="H32" s="103" t="s">
        <v>17</v>
      </c>
      <c r="I32" s="104"/>
      <c r="J32" s="104"/>
      <c r="K32" s="105"/>
      <c r="L32" s="7">
        <f>SUM(L23:L31)</f>
        <v>1023</v>
      </c>
      <c r="M32" s="8"/>
      <c r="N32" s="9">
        <f>SUM(N23:N31)</f>
        <v>971.64242265432074</v>
      </c>
    </row>
    <row r="33" spans="8:24" ht="15.75" thickBot="1" x14ac:dyDescent="0.3">
      <c r="H33" s="3">
        <v>1</v>
      </c>
      <c r="I33" s="100" t="s">
        <v>18</v>
      </c>
      <c r="J33" s="101"/>
      <c r="K33" s="102"/>
      <c r="L33" s="6">
        <v>39</v>
      </c>
      <c r="M33" s="5">
        <v>2.98</v>
      </c>
      <c r="N33" s="5">
        <f>+L33*M33</f>
        <v>116.22</v>
      </c>
    </row>
    <row r="34" spans="8:24" ht="15.75" thickBot="1" x14ac:dyDescent="0.3">
      <c r="H34" s="11">
        <v>2</v>
      </c>
      <c r="I34" s="100" t="s">
        <v>19</v>
      </c>
      <c r="J34" s="101"/>
      <c r="K34" s="102"/>
      <c r="L34" s="12">
        <v>39</v>
      </c>
      <c r="M34" s="13">
        <v>0.13</v>
      </c>
      <c r="N34" s="13">
        <f>+L34*M34</f>
        <v>5.07</v>
      </c>
    </row>
    <row r="35" spans="8:24" ht="15.75" thickBot="1" x14ac:dyDescent="0.3">
      <c r="H35" s="103" t="s">
        <v>17</v>
      </c>
      <c r="I35" s="104"/>
      <c r="J35" s="104"/>
      <c r="K35" s="105"/>
      <c r="L35" s="8"/>
      <c r="M35" s="8"/>
      <c r="N35" s="14">
        <f>SUM(N33:N34)</f>
        <v>121.28999999999999</v>
      </c>
    </row>
    <row r="36" spans="8:24" ht="15.75" thickBot="1" x14ac:dyDescent="0.3">
      <c r="I36" s="97" t="s">
        <v>82</v>
      </c>
      <c r="J36" s="98"/>
      <c r="K36" s="98"/>
      <c r="L36" s="98"/>
      <c r="M36" s="99"/>
      <c r="N36" s="15">
        <f>SUM(N35,N32)</f>
        <v>1092.9324226543208</v>
      </c>
    </row>
    <row r="37" spans="8:24" ht="15.75" thickBot="1" x14ac:dyDescent="0.3">
      <c r="I37" s="108" t="s">
        <v>20</v>
      </c>
      <c r="J37" s="109"/>
      <c r="K37" s="109"/>
      <c r="L37" s="109"/>
      <c r="M37" s="110"/>
      <c r="N37" s="5">
        <f>+N36*0.2</f>
        <v>218.58648453086417</v>
      </c>
    </row>
    <row r="38" spans="8:24" ht="15.75" thickBot="1" x14ac:dyDescent="0.3">
      <c r="I38" s="97" t="s">
        <v>21</v>
      </c>
      <c r="J38" s="98"/>
      <c r="K38" s="98"/>
      <c r="L38" s="98"/>
      <c r="M38" s="99"/>
      <c r="N38" s="16">
        <f>SUM(N36:N37)</f>
        <v>1311.5189071851851</v>
      </c>
    </row>
    <row r="39" spans="8:24" ht="15.75" thickBot="1" x14ac:dyDescent="0.3">
      <c r="I39" s="181" t="s">
        <v>83</v>
      </c>
      <c r="J39" s="182"/>
      <c r="K39" s="182"/>
      <c r="L39" s="182"/>
      <c r="M39" s="183"/>
      <c r="N39" s="18">
        <f>+N38/1014</f>
        <v>1.2934111510702022</v>
      </c>
    </row>
    <row r="40" spans="8:24" ht="15.75" thickBot="1" x14ac:dyDescent="0.3">
      <c r="I40" s="174"/>
      <c r="J40" s="175"/>
      <c r="K40" s="175"/>
      <c r="L40" s="175"/>
      <c r="M40" s="176"/>
      <c r="N40" s="5"/>
      <c r="O40" s="111" t="s">
        <v>53</v>
      </c>
      <c r="P40" s="177"/>
      <c r="Q40" s="177"/>
      <c r="R40" s="177"/>
      <c r="S40" s="177"/>
      <c r="T40" s="177"/>
      <c r="U40" s="177"/>
      <c r="V40" s="177"/>
      <c r="W40" s="177"/>
      <c r="X40" s="177"/>
    </row>
    <row r="41" spans="8:24" ht="15.75" thickBot="1" x14ac:dyDescent="0.3">
      <c r="I41" s="178"/>
      <c r="J41" s="179"/>
      <c r="K41" s="179"/>
      <c r="L41" s="179"/>
      <c r="M41" s="180"/>
      <c r="N41" s="5"/>
    </row>
  </sheetData>
  <mergeCells count="27">
    <mergeCell ref="H16:O17"/>
    <mergeCell ref="H21:H22"/>
    <mergeCell ref="I21:K22"/>
    <mergeCell ref="L21:L22"/>
    <mergeCell ref="M21:M22"/>
    <mergeCell ref="N21:N22"/>
    <mergeCell ref="I33:K33"/>
    <mergeCell ref="I23:K23"/>
    <mergeCell ref="I24:K24"/>
    <mergeCell ref="O24:T24"/>
    <mergeCell ref="I25:K25"/>
    <mergeCell ref="I26:K26"/>
    <mergeCell ref="I27:K27"/>
    <mergeCell ref="I28:K28"/>
    <mergeCell ref="I29:K29"/>
    <mergeCell ref="I30:K30"/>
    <mergeCell ref="I31:K31"/>
    <mergeCell ref="H32:K32"/>
    <mergeCell ref="I40:M40"/>
    <mergeCell ref="O40:X40"/>
    <mergeCell ref="I41:M41"/>
    <mergeCell ref="I34:K34"/>
    <mergeCell ref="H35:K35"/>
    <mergeCell ref="I36:M36"/>
    <mergeCell ref="I37:M37"/>
    <mergeCell ref="I38:M38"/>
    <mergeCell ref="I39:M39"/>
  </mergeCells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3:R40"/>
  <sheetViews>
    <sheetView topLeftCell="A5" workbookViewId="0">
      <selection activeCell="B14" sqref="B14:I15"/>
    </sheetView>
  </sheetViews>
  <sheetFormatPr defaultRowHeight="15" x14ac:dyDescent="0.25"/>
  <sheetData>
    <row r="13" spans="2:9" ht="15.75" thickBot="1" x14ac:dyDescent="0.3"/>
    <row r="14" spans="2:9" x14ac:dyDescent="0.25">
      <c r="B14" s="193" t="s">
        <v>84</v>
      </c>
      <c r="C14" s="194"/>
      <c r="D14" s="194"/>
      <c r="E14" s="194"/>
      <c r="F14" s="194"/>
      <c r="G14" s="194"/>
      <c r="H14" s="194"/>
      <c r="I14" s="195"/>
    </row>
    <row r="15" spans="2:9" ht="15.75" thickBot="1" x14ac:dyDescent="0.3">
      <c r="B15" s="196"/>
      <c r="C15" s="197"/>
      <c r="D15" s="197"/>
      <c r="E15" s="197"/>
      <c r="F15" s="197"/>
      <c r="G15" s="197"/>
      <c r="H15" s="197"/>
      <c r="I15" s="198"/>
    </row>
    <row r="18" spans="2:14" ht="15.75" thickBot="1" x14ac:dyDescent="0.3"/>
    <row r="19" spans="2:14" x14ac:dyDescent="0.25">
      <c r="B19" s="121" t="s">
        <v>0</v>
      </c>
      <c r="C19" s="123" t="s">
        <v>1</v>
      </c>
      <c r="D19" s="124"/>
      <c r="E19" s="125"/>
      <c r="F19" s="121" t="s">
        <v>2</v>
      </c>
      <c r="G19" s="129" t="s">
        <v>3</v>
      </c>
      <c r="H19" s="129" t="s">
        <v>29</v>
      </c>
    </row>
    <row r="20" spans="2:14" ht="15.75" thickBot="1" x14ac:dyDescent="0.3">
      <c r="B20" s="122"/>
      <c r="C20" s="126"/>
      <c r="D20" s="127"/>
      <c r="E20" s="128"/>
      <c r="F20" s="122"/>
      <c r="G20" s="130"/>
      <c r="H20" s="130"/>
    </row>
    <row r="21" spans="2:14" ht="15.75" thickBot="1" x14ac:dyDescent="0.3">
      <c r="B21" s="3">
        <v>1</v>
      </c>
      <c r="C21" s="100" t="s">
        <v>6</v>
      </c>
      <c r="D21" s="101"/>
      <c r="E21" s="102"/>
      <c r="F21" s="4">
        <v>170</v>
      </c>
      <c r="G21" s="5">
        <v>1.62</v>
      </c>
      <c r="H21" s="5">
        <f t="shared" ref="H21:H30" si="0">+F21*G21</f>
        <v>275.40000000000003</v>
      </c>
    </row>
    <row r="22" spans="2:14" ht="15.75" thickBot="1" x14ac:dyDescent="0.3">
      <c r="B22" s="3">
        <v>2</v>
      </c>
      <c r="C22" s="100" t="s">
        <v>7</v>
      </c>
      <c r="D22" s="101"/>
      <c r="E22" s="102"/>
      <c r="F22" s="4">
        <v>220</v>
      </c>
      <c r="G22" s="5">
        <v>2.2000000000000002</v>
      </c>
      <c r="H22" s="5">
        <f t="shared" si="0"/>
        <v>484.00000000000006</v>
      </c>
      <c r="I22" s="169"/>
      <c r="J22" s="170"/>
      <c r="K22" s="170"/>
      <c r="L22" s="170"/>
      <c r="M22" s="170"/>
      <c r="N22" s="170"/>
    </row>
    <row r="23" spans="2:14" ht="15.75" thickBot="1" x14ac:dyDescent="0.3">
      <c r="B23" s="3">
        <v>3</v>
      </c>
      <c r="C23" s="100" t="s">
        <v>9</v>
      </c>
      <c r="D23" s="101"/>
      <c r="E23" s="102"/>
      <c r="F23" s="6">
        <v>20</v>
      </c>
      <c r="G23" s="5">
        <v>1.66</v>
      </c>
      <c r="H23" s="5">
        <f t="shared" si="0"/>
        <v>33.199999999999996</v>
      </c>
    </row>
    <row r="24" spans="2:14" ht="15.75" thickBot="1" x14ac:dyDescent="0.3">
      <c r="B24" s="3">
        <v>4</v>
      </c>
      <c r="C24" s="100" t="s">
        <v>10</v>
      </c>
      <c r="D24" s="101"/>
      <c r="E24" s="102"/>
      <c r="F24" s="6"/>
      <c r="G24" s="6"/>
      <c r="H24" s="6">
        <f t="shared" si="0"/>
        <v>0</v>
      </c>
    </row>
    <row r="25" spans="2:14" ht="15.75" thickBot="1" x14ac:dyDescent="0.3">
      <c r="B25" s="3">
        <v>5</v>
      </c>
      <c r="C25" s="100" t="s">
        <v>11</v>
      </c>
      <c r="D25" s="101"/>
      <c r="E25" s="102"/>
      <c r="F25" s="6">
        <v>3</v>
      </c>
      <c r="G25" s="5">
        <v>3.99</v>
      </c>
      <c r="H25" s="5">
        <f t="shared" si="0"/>
        <v>11.97</v>
      </c>
    </row>
    <row r="26" spans="2:14" ht="15.75" thickBot="1" x14ac:dyDescent="0.3">
      <c r="B26" s="3">
        <v>6</v>
      </c>
      <c r="C26" s="100" t="s">
        <v>12</v>
      </c>
      <c r="D26" s="101"/>
      <c r="E26" s="102"/>
      <c r="F26" s="6">
        <v>6</v>
      </c>
      <c r="G26" s="5">
        <v>6.23</v>
      </c>
      <c r="H26" s="5">
        <f>+F26*G26</f>
        <v>37.380000000000003</v>
      </c>
    </row>
    <row r="27" spans="2:14" ht="15.75" thickBot="1" x14ac:dyDescent="0.3">
      <c r="B27" s="3">
        <v>7</v>
      </c>
      <c r="C27" s="100" t="s">
        <v>13</v>
      </c>
      <c r="D27" s="101"/>
      <c r="E27" s="102"/>
      <c r="F27" s="6">
        <v>275</v>
      </c>
      <c r="G27" s="5">
        <v>0.15</v>
      </c>
      <c r="H27" s="5">
        <f>+F27*G27</f>
        <v>41.25</v>
      </c>
    </row>
    <row r="28" spans="2:14" ht="15.75" thickBot="1" x14ac:dyDescent="0.3">
      <c r="B28" s="3">
        <v>8</v>
      </c>
      <c r="C28" s="100" t="s">
        <v>15</v>
      </c>
      <c r="D28" s="101"/>
      <c r="E28" s="102"/>
      <c r="F28" s="6">
        <v>40</v>
      </c>
      <c r="G28" s="5">
        <v>3.56</v>
      </c>
      <c r="H28" s="5">
        <f>+F28*G28</f>
        <v>142.4</v>
      </c>
      <c r="I28" s="111"/>
      <c r="J28" s="112"/>
      <c r="K28" s="112"/>
      <c r="L28" s="112"/>
      <c r="M28" s="112"/>
    </row>
    <row r="29" spans="2:14" ht="15.75" thickBot="1" x14ac:dyDescent="0.3">
      <c r="B29" s="3">
        <v>9</v>
      </c>
      <c r="C29" s="100" t="s">
        <v>14</v>
      </c>
      <c r="D29" s="101"/>
      <c r="E29" s="102"/>
      <c r="F29" s="6">
        <v>290</v>
      </c>
      <c r="G29" s="5">
        <v>0.17</v>
      </c>
      <c r="H29" s="5">
        <f>+F29*G29</f>
        <v>49.300000000000004</v>
      </c>
    </row>
    <row r="30" spans="2:14" ht="15.75" thickBot="1" x14ac:dyDescent="0.3">
      <c r="B30" s="3">
        <v>10</v>
      </c>
      <c r="C30" s="100" t="s">
        <v>54</v>
      </c>
      <c r="D30" s="101"/>
      <c r="E30" s="102"/>
      <c r="F30" s="6">
        <v>7.5</v>
      </c>
      <c r="G30" s="5">
        <f>18.8/1.95583</f>
        <v>9.6122873664889088</v>
      </c>
      <c r="H30" s="5">
        <f t="shared" si="0"/>
        <v>72.092155248666813</v>
      </c>
    </row>
    <row r="31" spans="2:14" ht="15.75" thickBot="1" x14ac:dyDescent="0.3">
      <c r="B31" s="103" t="s">
        <v>17</v>
      </c>
      <c r="C31" s="104"/>
      <c r="D31" s="104"/>
      <c r="E31" s="105"/>
      <c r="F31" s="7">
        <f>SUM(F21:F30)</f>
        <v>1031.5</v>
      </c>
      <c r="G31" s="8"/>
      <c r="H31" s="9">
        <f>SUM(H21:H30)</f>
        <v>1146.9921552486669</v>
      </c>
    </row>
    <row r="32" spans="2:14" ht="15.75" thickBot="1" x14ac:dyDescent="0.3">
      <c r="B32" s="3">
        <v>1</v>
      </c>
      <c r="C32" s="100" t="s">
        <v>18</v>
      </c>
      <c r="D32" s="101"/>
      <c r="E32" s="102"/>
      <c r="F32" s="6">
        <v>39</v>
      </c>
      <c r="G32" s="5">
        <v>2.98</v>
      </c>
      <c r="H32" s="6">
        <f>+F32*G32</f>
        <v>116.22</v>
      </c>
    </row>
    <row r="33" spans="2:18" ht="15.75" thickBot="1" x14ac:dyDescent="0.3">
      <c r="B33" s="11">
        <v>2</v>
      </c>
      <c r="C33" s="100" t="s">
        <v>19</v>
      </c>
      <c r="D33" s="101"/>
      <c r="E33" s="102"/>
      <c r="F33" s="12">
        <v>39</v>
      </c>
      <c r="G33" s="13">
        <v>0.13</v>
      </c>
      <c r="H33" s="12">
        <f>+F33*G33</f>
        <v>5.07</v>
      </c>
      <c r="K33" s="24"/>
    </row>
    <row r="34" spans="2:18" ht="15.75" thickBot="1" x14ac:dyDescent="0.3">
      <c r="B34" s="103" t="s">
        <v>17</v>
      </c>
      <c r="C34" s="104"/>
      <c r="D34" s="104"/>
      <c r="E34" s="105"/>
      <c r="F34" s="8"/>
      <c r="G34" s="8"/>
      <c r="H34" s="14">
        <f>SUM(H32:H33)</f>
        <v>121.28999999999999</v>
      </c>
    </row>
    <row r="35" spans="2:18" ht="15.75" thickBot="1" x14ac:dyDescent="0.3">
      <c r="C35" s="97" t="s">
        <v>85</v>
      </c>
      <c r="D35" s="133"/>
      <c r="E35" s="133"/>
      <c r="F35" s="133"/>
      <c r="G35" s="134"/>
      <c r="H35" s="15">
        <f>SUM(H34,H31)</f>
        <v>1268.2821552486669</v>
      </c>
    </row>
    <row r="36" spans="2:18" ht="15.75" thickBot="1" x14ac:dyDescent="0.3">
      <c r="C36" s="108" t="s">
        <v>20</v>
      </c>
      <c r="D36" s="109"/>
      <c r="E36" s="109"/>
      <c r="F36" s="109"/>
      <c r="G36" s="110"/>
      <c r="H36" s="5">
        <f>+H35*0.2</f>
        <v>253.65643104973338</v>
      </c>
    </row>
    <row r="37" spans="2:18" ht="15.75" thickBot="1" x14ac:dyDescent="0.3">
      <c r="C37" s="97" t="s">
        <v>21</v>
      </c>
      <c r="D37" s="98"/>
      <c r="E37" s="98"/>
      <c r="F37" s="98"/>
      <c r="G37" s="99"/>
      <c r="H37" s="16">
        <f>SUM(H35:H36)</f>
        <v>1521.9385862984002</v>
      </c>
    </row>
    <row r="38" spans="2:18" ht="15.75" thickBot="1" x14ac:dyDescent="0.3">
      <c r="C38" s="136" t="s">
        <v>86</v>
      </c>
      <c r="D38" s="137"/>
      <c r="E38" s="137"/>
      <c r="F38" s="137"/>
      <c r="G38" s="138"/>
      <c r="H38" s="36">
        <f>+H37/1014</f>
        <v>1.5009256275132152</v>
      </c>
    </row>
    <row r="39" spans="2:18" ht="15.75" thickBot="1" x14ac:dyDescent="0.3">
      <c r="C39" s="190"/>
      <c r="D39" s="191"/>
      <c r="E39" s="191"/>
      <c r="F39" s="191"/>
      <c r="G39" s="192"/>
      <c r="H39" s="5"/>
      <c r="I39" s="111" t="s">
        <v>53</v>
      </c>
      <c r="J39" s="177"/>
      <c r="K39" s="177"/>
      <c r="L39" s="177"/>
      <c r="M39" s="177"/>
      <c r="N39" s="177"/>
      <c r="O39" s="177"/>
      <c r="P39" s="177"/>
      <c r="Q39" s="177"/>
      <c r="R39" s="177"/>
    </row>
    <row r="40" spans="2:18" ht="15.75" thickBot="1" x14ac:dyDescent="0.3">
      <c r="C40" s="178"/>
      <c r="D40" s="179"/>
      <c r="E40" s="179"/>
      <c r="F40" s="179"/>
      <c r="G40" s="180"/>
      <c r="H40" s="5"/>
    </row>
  </sheetData>
  <mergeCells count="29">
    <mergeCell ref="C25:E25"/>
    <mergeCell ref="B14:I15"/>
    <mergeCell ref="B19:B20"/>
    <mergeCell ref="C19:E20"/>
    <mergeCell ref="F19:F20"/>
    <mergeCell ref="G19:G20"/>
    <mergeCell ref="H19:H20"/>
    <mergeCell ref="C21:E21"/>
    <mergeCell ref="C22:E22"/>
    <mergeCell ref="I22:N22"/>
    <mergeCell ref="C23:E23"/>
    <mergeCell ref="C24:E24"/>
    <mergeCell ref="C36:G36"/>
    <mergeCell ref="C26:E26"/>
    <mergeCell ref="C27:E27"/>
    <mergeCell ref="C28:E28"/>
    <mergeCell ref="I28:M28"/>
    <mergeCell ref="C29:E29"/>
    <mergeCell ref="C30:E30"/>
    <mergeCell ref="B31:E31"/>
    <mergeCell ref="C32:E32"/>
    <mergeCell ref="C33:E33"/>
    <mergeCell ref="B34:E34"/>
    <mergeCell ref="C35:G35"/>
    <mergeCell ref="C37:G37"/>
    <mergeCell ref="C38:G38"/>
    <mergeCell ref="C39:G39"/>
    <mergeCell ref="I39:R39"/>
    <mergeCell ref="C40:G4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8:V36"/>
  <sheetViews>
    <sheetView topLeftCell="A3" workbookViewId="0">
      <selection activeCell="F9" sqref="F9:L10"/>
    </sheetView>
  </sheetViews>
  <sheetFormatPr defaultRowHeight="15" x14ac:dyDescent="0.25"/>
  <cols>
    <col min="5" max="6" width="7.28515625" customWidth="1"/>
    <col min="9" max="9" width="12.5703125" customWidth="1"/>
    <col min="12" max="12" width="12.42578125" customWidth="1"/>
    <col min="261" max="262" width="7.28515625" customWidth="1"/>
    <col min="265" max="265" width="12.5703125" customWidth="1"/>
    <col min="268" max="268" width="12.42578125" customWidth="1"/>
    <col min="517" max="518" width="7.28515625" customWidth="1"/>
    <col min="521" max="521" width="12.5703125" customWidth="1"/>
    <col min="524" max="524" width="12.42578125" customWidth="1"/>
    <col min="773" max="774" width="7.28515625" customWidth="1"/>
    <col min="777" max="777" width="12.5703125" customWidth="1"/>
    <col min="780" max="780" width="12.42578125" customWidth="1"/>
    <col min="1029" max="1030" width="7.28515625" customWidth="1"/>
    <col min="1033" max="1033" width="12.5703125" customWidth="1"/>
    <col min="1036" max="1036" width="12.42578125" customWidth="1"/>
    <col min="1285" max="1286" width="7.28515625" customWidth="1"/>
    <col min="1289" max="1289" width="12.5703125" customWidth="1"/>
    <col min="1292" max="1292" width="12.42578125" customWidth="1"/>
    <col min="1541" max="1542" width="7.28515625" customWidth="1"/>
    <col min="1545" max="1545" width="12.5703125" customWidth="1"/>
    <col min="1548" max="1548" width="12.42578125" customWidth="1"/>
    <col min="1797" max="1798" width="7.28515625" customWidth="1"/>
    <col min="1801" max="1801" width="12.5703125" customWidth="1"/>
    <col min="1804" max="1804" width="12.42578125" customWidth="1"/>
    <col min="2053" max="2054" width="7.28515625" customWidth="1"/>
    <col min="2057" max="2057" width="12.5703125" customWidth="1"/>
    <col min="2060" max="2060" width="12.42578125" customWidth="1"/>
    <col min="2309" max="2310" width="7.28515625" customWidth="1"/>
    <col min="2313" max="2313" width="12.5703125" customWidth="1"/>
    <col min="2316" max="2316" width="12.42578125" customWidth="1"/>
    <col min="2565" max="2566" width="7.28515625" customWidth="1"/>
    <col min="2569" max="2569" width="12.5703125" customWidth="1"/>
    <col min="2572" max="2572" width="12.42578125" customWidth="1"/>
    <col min="2821" max="2822" width="7.28515625" customWidth="1"/>
    <col min="2825" max="2825" width="12.5703125" customWidth="1"/>
    <col min="2828" max="2828" width="12.42578125" customWidth="1"/>
    <col min="3077" max="3078" width="7.28515625" customWidth="1"/>
    <col min="3081" max="3081" width="12.5703125" customWidth="1"/>
    <col min="3084" max="3084" width="12.42578125" customWidth="1"/>
    <col min="3333" max="3334" width="7.28515625" customWidth="1"/>
    <col min="3337" max="3337" width="12.5703125" customWidth="1"/>
    <col min="3340" max="3340" width="12.42578125" customWidth="1"/>
    <col min="3589" max="3590" width="7.28515625" customWidth="1"/>
    <col min="3593" max="3593" width="12.5703125" customWidth="1"/>
    <col min="3596" max="3596" width="12.42578125" customWidth="1"/>
    <col min="3845" max="3846" width="7.28515625" customWidth="1"/>
    <col min="3849" max="3849" width="12.5703125" customWidth="1"/>
    <col min="3852" max="3852" width="12.42578125" customWidth="1"/>
    <col min="4101" max="4102" width="7.28515625" customWidth="1"/>
    <col min="4105" max="4105" width="12.5703125" customWidth="1"/>
    <col min="4108" max="4108" width="12.42578125" customWidth="1"/>
    <col min="4357" max="4358" width="7.28515625" customWidth="1"/>
    <col min="4361" max="4361" width="12.5703125" customWidth="1"/>
    <col min="4364" max="4364" width="12.42578125" customWidth="1"/>
    <col min="4613" max="4614" width="7.28515625" customWidth="1"/>
    <col min="4617" max="4617" width="12.5703125" customWidth="1"/>
    <col min="4620" max="4620" width="12.42578125" customWidth="1"/>
    <col min="4869" max="4870" width="7.28515625" customWidth="1"/>
    <col min="4873" max="4873" width="12.5703125" customWidth="1"/>
    <col min="4876" max="4876" width="12.42578125" customWidth="1"/>
    <col min="5125" max="5126" width="7.28515625" customWidth="1"/>
    <col min="5129" max="5129" width="12.5703125" customWidth="1"/>
    <col min="5132" max="5132" width="12.42578125" customWidth="1"/>
    <col min="5381" max="5382" width="7.28515625" customWidth="1"/>
    <col min="5385" max="5385" width="12.5703125" customWidth="1"/>
    <col min="5388" max="5388" width="12.42578125" customWidth="1"/>
    <col min="5637" max="5638" width="7.28515625" customWidth="1"/>
    <col min="5641" max="5641" width="12.5703125" customWidth="1"/>
    <col min="5644" max="5644" width="12.42578125" customWidth="1"/>
    <col min="5893" max="5894" width="7.28515625" customWidth="1"/>
    <col min="5897" max="5897" width="12.5703125" customWidth="1"/>
    <col min="5900" max="5900" width="12.42578125" customWidth="1"/>
    <col min="6149" max="6150" width="7.28515625" customWidth="1"/>
    <col min="6153" max="6153" width="12.5703125" customWidth="1"/>
    <col min="6156" max="6156" width="12.42578125" customWidth="1"/>
    <col min="6405" max="6406" width="7.28515625" customWidth="1"/>
    <col min="6409" max="6409" width="12.5703125" customWidth="1"/>
    <col min="6412" max="6412" width="12.42578125" customWidth="1"/>
    <col min="6661" max="6662" width="7.28515625" customWidth="1"/>
    <col min="6665" max="6665" width="12.5703125" customWidth="1"/>
    <col min="6668" max="6668" width="12.42578125" customWidth="1"/>
    <col min="6917" max="6918" width="7.28515625" customWidth="1"/>
    <col min="6921" max="6921" width="12.5703125" customWidth="1"/>
    <col min="6924" max="6924" width="12.42578125" customWidth="1"/>
    <col min="7173" max="7174" width="7.28515625" customWidth="1"/>
    <col min="7177" max="7177" width="12.5703125" customWidth="1"/>
    <col min="7180" max="7180" width="12.42578125" customWidth="1"/>
    <col min="7429" max="7430" width="7.28515625" customWidth="1"/>
    <col min="7433" max="7433" width="12.5703125" customWidth="1"/>
    <col min="7436" max="7436" width="12.42578125" customWidth="1"/>
    <col min="7685" max="7686" width="7.28515625" customWidth="1"/>
    <col min="7689" max="7689" width="12.5703125" customWidth="1"/>
    <col min="7692" max="7692" width="12.42578125" customWidth="1"/>
    <col min="7941" max="7942" width="7.28515625" customWidth="1"/>
    <col min="7945" max="7945" width="12.5703125" customWidth="1"/>
    <col min="7948" max="7948" width="12.42578125" customWidth="1"/>
    <col min="8197" max="8198" width="7.28515625" customWidth="1"/>
    <col min="8201" max="8201" width="12.5703125" customWidth="1"/>
    <col min="8204" max="8204" width="12.42578125" customWidth="1"/>
    <col min="8453" max="8454" width="7.28515625" customWidth="1"/>
    <col min="8457" max="8457" width="12.5703125" customWidth="1"/>
    <col min="8460" max="8460" width="12.42578125" customWidth="1"/>
    <col min="8709" max="8710" width="7.28515625" customWidth="1"/>
    <col min="8713" max="8713" width="12.5703125" customWidth="1"/>
    <col min="8716" max="8716" width="12.42578125" customWidth="1"/>
    <col min="8965" max="8966" width="7.28515625" customWidth="1"/>
    <col min="8969" max="8969" width="12.5703125" customWidth="1"/>
    <col min="8972" max="8972" width="12.42578125" customWidth="1"/>
    <col min="9221" max="9222" width="7.28515625" customWidth="1"/>
    <col min="9225" max="9225" width="12.5703125" customWidth="1"/>
    <col min="9228" max="9228" width="12.42578125" customWidth="1"/>
    <col min="9477" max="9478" width="7.28515625" customWidth="1"/>
    <col min="9481" max="9481" width="12.5703125" customWidth="1"/>
    <col min="9484" max="9484" width="12.42578125" customWidth="1"/>
    <col min="9733" max="9734" width="7.28515625" customWidth="1"/>
    <col min="9737" max="9737" width="12.5703125" customWidth="1"/>
    <col min="9740" max="9740" width="12.42578125" customWidth="1"/>
    <col min="9989" max="9990" width="7.28515625" customWidth="1"/>
    <col min="9993" max="9993" width="12.5703125" customWidth="1"/>
    <col min="9996" max="9996" width="12.42578125" customWidth="1"/>
    <col min="10245" max="10246" width="7.28515625" customWidth="1"/>
    <col min="10249" max="10249" width="12.5703125" customWidth="1"/>
    <col min="10252" max="10252" width="12.42578125" customWidth="1"/>
    <col min="10501" max="10502" width="7.28515625" customWidth="1"/>
    <col min="10505" max="10505" width="12.5703125" customWidth="1"/>
    <col min="10508" max="10508" width="12.42578125" customWidth="1"/>
    <col min="10757" max="10758" width="7.28515625" customWidth="1"/>
    <col min="10761" max="10761" width="12.5703125" customWidth="1"/>
    <col min="10764" max="10764" width="12.42578125" customWidth="1"/>
    <col min="11013" max="11014" width="7.28515625" customWidth="1"/>
    <col min="11017" max="11017" width="12.5703125" customWidth="1"/>
    <col min="11020" max="11020" width="12.42578125" customWidth="1"/>
    <col min="11269" max="11270" width="7.28515625" customWidth="1"/>
    <col min="11273" max="11273" width="12.5703125" customWidth="1"/>
    <col min="11276" max="11276" width="12.42578125" customWidth="1"/>
    <col min="11525" max="11526" width="7.28515625" customWidth="1"/>
    <col min="11529" max="11529" width="12.5703125" customWidth="1"/>
    <col min="11532" max="11532" width="12.42578125" customWidth="1"/>
    <col min="11781" max="11782" width="7.28515625" customWidth="1"/>
    <col min="11785" max="11785" width="12.5703125" customWidth="1"/>
    <col min="11788" max="11788" width="12.42578125" customWidth="1"/>
    <col min="12037" max="12038" width="7.28515625" customWidth="1"/>
    <col min="12041" max="12041" width="12.5703125" customWidth="1"/>
    <col min="12044" max="12044" width="12.42578125" customWidth="1"/>
    <col min="12293" max="12294" width="7.28515625" customWidth="1"/>
    <col min="12297" max="12297" width="12.5703125" customWidth="1"/>
    <col min="12300" max="12300" width="12.42578125" customWidth="1"/>
    <col min="12549" max="12550" width="7.28515625" customWidth="1"/>
    <col min="12553" max="12553" width="12.5703125" customWidth="1"/>
    <col min="12556" max="12556" width="12.42578125" customWidth="1"/>
    <col min="12805" max="12806" width="7.28515625" customWidth="1"/>
    <col min="12809" max="12809" width="12.5703125" customWidth="1"/>
    <col min="12812" max="12812" width="12.42578125" customWidth="1"/>
    <col min="13061" max="13062" width="7.28515625" customWidth="1"/>
    <col min="13065" max="13065" width="12.5703125" customWidth="1"/>
    <col min="13068" max="13068" width="12.42578125" customWidth="1"/>
    <col min="13317" max="13318" width="7.28515625" customWidth="1"/>
    <col min="13321" max="13321" width="12.5703125" customWidth="1"/>
    <col min="13324" max="13324" width="12.42578125" customWidth="1"/>
    <col min="13573" max="13574" width="7.28515625" customWidth="1"/>
    <col min="13577" max="13577" width="12.5703125" customWidth="1"/>
    <col min="13580" max="13580" width="12.42578125" customWidth="1"/>
    <col min="13829" max="13830" width="7.28515625" customWidth="1"/>
    <col min="13833" max="13833" width="12.5703125" customWidth="1"/>
    <col min="13836" max="13836" width="12.42578125" customWidth="1"/>
    <col min="14085" max="14086" width="7.28515625" customWidth="1"/>
    <col min="14089" max="14089" width="12.5703125" customWidth="1"/>
    <col min="14092" max="14092" width="12.42578125" customWidth="1"/>
    <col min="14341" max="14342" width="7.28515625" customWidth="1"/>
    <col min="14345" max="14345" width="12.5703125" customWidth="1"/>
    <col min="14348" max="14348" width="12.42578125" customWidth="1"/>
    <col min="14597" max="14598" width="7.28515625" customWidth="1"/>
    <col min="14601" max="14601" width="12.5703125" customWidth="1"/>
    <col min="14604" max="14604" width="12.42578125" customWidth="1"/>
    <col min="14853" max="14854" width="7.28515625" customWidth="1"/>
    <col min="14857" max="14857" width="12.5703125" customWidth="1"/>
    <col min="14860" max="14860" width="12.42578125" customWidth="1"/>
    <col min="15109" max="15110" width="7.28515625" customWidth="1"/>
    <col min="15113" max="15113" width="12.5703125" customWidth="1"/>
    <col min="15116" max="15116" width="12.42578125" customWidth="1"/>
    <col min="15365" max="15366" width="7.28515625" customWidth="1"/>
    <col min="15369" max="15369" width="12.5703125" customWidth="1"/>
    <col min="15372" max="15372" width="12.42578125" customWidth="1"/>
    <col min="15621" max="15622" width="7.28515625" customWidth="1"/>
    <col min="15625" max="15625" width="12.5703125" customWidth="1"/>
    <col min="15628" max="15628" width="12.42578125" customWidth="1"/>
    <col min="15877" max="15878" width="7.28515625" customWidth="1"/>
    <col min="15881" max="15881" width="12.5703125" customWidth="1"/>
    <col min="15884" max="15884" width="12.42578125" customWidth="1"/>
    <col min="16133" max="16134" width="7.28515625" customWidth="1"/>
    <col min="16137" max="16137" width="12.5703125" customWidth="1"/>
    <col min="16140" max="16140" width="12.42578125" customWidth="1"/>
  </cols>
  <sheetData>
    <row r="8" spans="6:12" ht="15.75" thickBot="1" x14ac:dyDescent="0.3"/>
    <row r="9" spans="6:12" x14ac:dyDescent="0.25">
      <c r="F9" s="200" t="s">
        <v>87</v>
      </c>
      <c r="G9" s="201"/>
      <c r="H9" s="201"/>
      <c r="I9" s="201"/>
      <c r="J9" s="201"/>
      <c r="K9" s="201"/>
      <c r="L9" s="202"/>
    </row>
    <row r="10" spans="6:12" ht="15.75" thickBot="1" x14ac:dyDescent="0.3">
      <c r="F10" s="203"/>
      <c r="G10" s="204"/>
      <c r="H10" s="204"/>
      <c r="I10" s="204"/>
      <c r="J10" s="204"/>
      <c r="K10" s="204"/>
      <c r="L10" s="205"/>
    </row>
    <row r="14" spans="6:12" ht="15.75" thickBot="1" x14ac:dyDescent="0.3"/>
    <row r="15" spans="6:12" x14ac:dyDescent="0.25">
      <c r="F15" s="121" t="s">
        <v>0</v>
      </c>
      <c r="G15" s="123" t="s">
        <v>1</v>
      </c>
      <c r="H15" s="124"/>
      <c r="I15" s="125"/>
      <c r="J15" s="121" t="s">
        <v>2</v>
      </c>
      <c r="K15" s="129" t="s">
        <v>3</v>
      </c>
      <c r="L15" s="206" t="s">
        <v>29</v>
      </c>
    </row>
    <row r="16" spans="6:12" ht="15.75" thickBot="1" x14ac:dyDescent="0.3">
      <c r="F16" s="122"/>
      <c r="G16" s="126"/>
      <c r="H16" s="127"/>
      <c r="I16" s="128"/>
      <c r="J16" s="122"/>
      <c r="K16" s="130"/>
      <c r="L16" s="207"/>
    </row>
    <row r="17" spans="6:18" ht="15.75" thickBot="1" x14ac:dyDescent="0.3">
      <c r="F17" s="80">
        <v>1</v>
      </c>
      <c r="G17" s="100" t="s">
        <v>6</v>
      </c>
      <c r="H17" s="101"/>
      <c r="I17" s="102"/>
      <c r="J17" s="4">
        <v>170</v>
      </c>
      <c r="K17" s="5">
        <v>1.62</v>
      </c>
      <c r="L17" s="5">
        <f t="shared" ref="L17:L25" si="0">+J17*K17</f>
        <v>275.40000000000003</v>
      </c>
    </row>
    <row r="18" spans="6:18" ht="15.75" thickBot="1" x14ac:dyDescent="0.3">
      <c r="F18" s="80">
        <v>2</v>
      </c>
      <c r="G18" s="100" t="s">
        <v>7</v>
      </c>
      <c r="H18" s="101"/>
      <c r="I18" s="102"/>
      <c r="J18" s="4">
        <v>212</v>
      </c>
      <c r="K18" s="5">
        <v>2.2000000000000002</v>
      </c>
      <c r="L18" s="5">
        <f t="shared" si="0"/>
        <v>466.40000000000003</v>
      </c>
      <c r="M18" s="113" t="s">
        <v>55</v>
      </c>
      <c r="N18" s="114"/>
      <c r="O18" s="114"/>
      <c r="P18" s="114"/>
      <c r="Q18" s="114"/>
      <c r="R18" s="114"/>
    </row>
    <row r="19" spans="6:18" ht="21" thickBot="1" x14ac:dyDescent="0.35">
      <c r="F19" s="80">
        <v>3</v>
      </c>
      <c r="G19" s="100" t="s">
        <v>9</v>
      </c>
      <c r="H19" s="101"/>
      <c r="I19" s="102"/>
      <c r="J19" s="4">
        <v>20</v>
      </c>
      <c r="K19" s="5">
        <v>1.66</v>
      </c>
      <c r="L19" s="5">
        <f t="shared" si="0"/>
        <v>33.199999999999996</v>
      </c>
      <c r="Q19" s="81"/>
    </row>
    <row r="20" spans="6:18" ht="15.75" thickBot="1" x14ac:dyDescent="0.3">
      <c r="F20" s="80">
        <v>4</v>
      </c>
      <c r="G20" s="100" t="s">
        <v>10</v>
      </c>
      <c r="H20" s="101"/>
      <c r="I20" s="102"/>
      <c r="J20" s="4"/>
      <c r="K20" s="5"/>
      <c r="L20" s="5">
        <f t="shared" si="0"/>
        <v>0</v>
      </c>
    </row>
    <row r="21" spans="6:18" ht="15.75" thickBot="1" x14ac:dyDescent="0.3">
      <c r="F21" s="80">
        <v>5</v>
      </c>
      <c r="G21" s="100" t="s">
        <v>11</v>
      </c>
      <c r="H21" s="101"/>
      <c r="I21" s="102"/>
      <c r="J21" s="4">
        <v>3</v>
      </c>
      <c r="K21" s="5">
        <v>3.99</v>
      </c>
      <c r="L21" s="5">
        <f t="shared" si="0"/>
        <v>11.97</v>
      </c>
    </row>
    <row r="22" spans="6:18" ht="15.75" thickBot="1" x14ac:dyDescent="0.3">
      <c r="F22" s="80">
        <v>6</v>
      </c>
      <c r="G22" s="100" t="s">
        <v>12</v>
      </c>
      <c r="H22" s="101"/>
      <c r="I22" s="102"/>
      <c r="J22" s="4">
        <v>6</v>
      </c>
      <c r="K22" s="5">
        <v>6.23</v>
      </c>
      <c r="L22" s="5">
        <f t="shared" si="0"/>
        <v>37.380000000000003</v>
      </c>
    </row>
    <row r="23" spans="6:18" ht="15.75" thickBot="1" x14ac:dyDescent="0.3">
      <c r="F23" s="80">
        <v>8</v>
      </c>
      <c r="G23" s="100" t="s">
        <v>13</v>
      </c>
      <c r="H23" s="101"/>
      <c r="I23" s="102"/>
      <c r="J23" s="4">
        <v>300</v>
      </c>
      <c r="K23" s="5">
        <v>0.15</v>
      </c>
      <c r="L23" s="5">
        <f t="shared" si="0"/>
        <v>45</v>
      </c>
    </row>
    <row r="24" spans="6:18" ht="15.75" thickBot="1" x14ac:dyDescent="0.3">
      <c r="F24" s="80">
        <v>9</v>
      </c>
      <c r="G24" s="100" t="s">
        <v>14</v>
      </c>
      <c r="H24" s="101"/>
      <c r="I24" s="102"/>
      <c r="J24" s="4">
        <v>300</v>
      </c>
      <c r="K24" s="5">
        <v>0.17</v>
      </c>
      <c r="L24" s="5">
        <f t="shared" si="0"/>
        <v>51.000000000000007</v>
      </c>
    </row>
    <row r="25" spans="6:18" ht="15.75" thickBot="1" x14ac:dyDescent="0.3">
      <c r="F25" s="80">
        <v>10</v>
      </c>
      <c r="G25" s="171" t="s">
        <v>56</v>
      </c>
      <c r="H25" s="172"/>
      <c r="I25" s="173"/>
      <c r="J25" s="4">
        <v>13</v>
      </c>
      <c r="K25" s="5">
        <v>25.05</v>
      </c>
      <c r="L25" s="5">
        <f t="shared" si="0"/>
        <v>325.65000000000003</v>
      </c>
    </row>
    <row r="26" spans="6:18" ht="15.75" thickBot="1" x14ac:dyDescent="0.3">
      <c r="F26" s="103" t="s">
        <v>17</v>
      </c>
      <c r="G26" s="104"/>
      <c r="H26" s="104"/>
      <c r="I26" s="105"/>
      <c r="J26" s="7">
        <f>SUM(J17:J25)</f>
        <v>1024</v>
      </c>
      <c r="K26" s="8"/>
      <c r="L26" s="9">
        <f>SUM(L17:L25)</f>
        <v>1246.0000000000002</v>
      </c>
    </row>
    <row r="27" spans="6:18" ht="15.75" thickBot="1" x14ac:dyDescent="0.3">
      <c r="F27" s="80">
        <v>1</v>
      </c>
      <c r="G27" s="100" t="s">
        <v>18</v>
      </c>
      <c r="H27" s="101"/>
      <c r="I27" s="102"/>
      <c r="J27" s="6">
        <v>39</v>
      </c>
      <c r="K27" s="5">
        <v>2.98</v>
      </c>
      <c r="L27" s="5">
        <f>+J27*K27</f>
        <v>116.22</v>
      </c>
      <c r="P27" s="28"/>
    </row>
    <row r="28" spans="6:18" ht="15.75" thickBot="1" x14ac:dyDescent="0.3">
      <c r="F28" s="82">
        <v>2</v>
      </c>
      <c r="G28" s="100" t="s">
        <v>19</v>
      </c>
      <c r="H28" s="101"/>
      <c r="I28" s="102"/>
      <c r="J28" s="12">
        <v>39</v>
      </c>
      <c r="K28" s="13">
        <v>0.13</v>
      </c>
      <c r="L28" s="13">
        <f>+J28*K28</f>
        <v>5.07</v>
      </c>
    </row>
    <row r="29" spans="6:18" ht="15.75" thickBot="1" x14ac:dyDescent="0.3">
      <c r="F29" s="103" t="s">
        <v>17</v>
      </c>
      <c r="G29" s="104"/>
      <c r="H29" s="104"/>
      <c r="I29" s="105"/>
      <c r="J29" s="8"/>
      <c r="K29" s="8"/>
      <c r="L29" s="14">
        <f>SUM(L27:L28)</f>
        <v>121.28999999999999</v>
      </c>
    </row>
    <row r="30" spans="6:18" ht="15.75" thickBot="1" x14ac:dyDescent="0.3">
      <c r="G30" s="97" t="s">
        <v>88</v>
      </c>
      <c r="H30" s="133"/>
      <c r="I30" s="133"/>
      <c r="J30" s="133"/>
      <c r="K30" s="134"/>
      <c r="L30" s="15">
        <f>SUM(L29,L26)</f>
        <v>1367.2900000000002</v>
      </c>
    </row>
    <row r="31" spans="6:18" ht="15.75" thickBot="1" x14ac:dyDescent="0.3">
      <c r="G31" s="108" t="s">
        <v>20</v>
      </c>
      <c r="H31" s="109"/>
      <c r="I31" s="109"/>
      <c r="J31" s="109"/>
      <c r="K31" s="110"/>
      <c r="L31" s="5">
        <f>+L30*0.2</f>
        <v>273.45800000000003</v>
      </c>
    </row>
    <row r="32" spans="6:18" ht="15.75" thickBot="1" x14ac:dyDescent="0.3">
      <c r="G32" s="97" t="s">
        <v>21</v>
      </c>
      <c r="H32" s="98"/>
      <c r="I32" s="98"/>
      <c r="J32" s="98"/>
      <c r="K32" s="99"/>
      <c r="L32" s="16">
        <f>SUM(L30:L31)</f>
        <v>1640.7480000000003</v>
      </c>
    </row>
    <row r="33" spans="7:22" ht="15.75" thickBot="1" x14ac:dyDescent="0.3">
      <c r="G33" s="136" t="s">
        <v>89</v>
      </c>
      <c r="H33" s="137"/>
      <c r="I33" s="137"/>
      <c r="J33" s="137"/>
      <c r="K33" s="138"/>
      <c r="L33" s="36">
        <f>+L32/1014</f>
        <v>1.6180946745562133</v>
      </c>
    </row>
    <row r="34" spans="7:22" ht="15.75" thickBot="1" x14ac:dyDescent="0.3">
      <c r="G34" s="178"/>
      <c r="H34" s="179"/>
      <c r="I34" s="179"/>
      <c r="J34" s="179"/>
      <c r="K34" s="180"/>
      <c r="L34" s="5"/>
      <c r="M34" s="111" t="s">
        <v>53</v>
      </c>
      <c r="N34" s="177"/>
      <c r="O34" s="177"/>
      <c r="P34" s="177"/>
      <c r="Q34" s="177"/>
      <c r="R34" s="177"/>
      <c r="S34" s="177"/>
      <c r="T34" s="177"/>
      <c r="U34" s="177"/>
      <c r="V34" s="177"/>
    </row>
    <row r="35" spans="7:22" ht="15.75" thickBot="1" x14ac:dyDescent="0.3">
      <c r="G35" s="199"/>
      <c r="H35" s="179"/>
      <c r="I35" s="179"/>
      <c r="J35" s="179"/>
      <c r="K35" s="180"/>
      <c r="L35" s="5"/>
    </row>
    <row r="36" spans="7:22" ht="15.75" thickBot="1" x14ac:dyDescent="0.3">
      <c r="G36" s="178"/>
      <c r="H36" s="179"/>
      <c r="I36" s="179"/>
      <c r="J36" s="179"/>
      <c r="K36" s="180"/>
      <c r="L36" s="5"/>
    </row>
  </sheetData>
  <mergeCells count="28">
    <mergeCell ref="G17:I17"/>
    <mergeCell ref="G18:I18"/>
    <mergeCell ref="F9:L10"/>
    <mergeCell ref="F15:F16"/>
    <mergeCell ref="G15:I16"/>
    <mergeCell ref="J15:J16"/>
    <mergeCell ref="K15:K16"/>
    <mergeCell ref="L15:L16"/>
    <mergeCell ref="M18:R18"/>
    <mergeCell ref="G19:I19"/>
    <mergeCell ref="G20:I20"/>
    <mergeCell ref="G32:K32"/>
    <mergeCell ref="G22:I22"/>
    <mergeCell ref="G23:I23"/>
    <mergeCell ref="G24:I24"/>
    <mergeCell ref="G25:I25"/>
    <mergeCell ref="F26:I26"/>
    <mergeCell ref="G27:I27"/>
    <mergeCell ref="G28:I28"/>
    <mergeCell ref="F29:I29"/>
    <mergeCell ref="G30:K30"/>
    <mergeCell ref="G31:K31"/>
    <mergeCell ref="G21:I21"/>
    <mergeCell ref="G33:K33"/>
    <mergeCell ref="G34:K34"/>
    <mergeCell ref="M34:V34"/>
    <mergeCell ref="G35:K35"/>
    <mergeCell ref="G36:K3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26"/>
  <sheetViews>
    <sheetView tabSelected="1" topLeftCell="A4" workbookViewId="0">
      <selection activeCell="H22" sqref="H22"/>
    </sheetView>
  </sheetViews>
  <sheetFormatPr defaultRowHeight="15" x14ac:dyDescent="0.25"/>
  <cols>
    <col min="1" max="1" width="4.85546875" customWidth="1"/>
    <col min="2" max="2" width="3.7109375" customWidth="1"/>
    <col min="6" max="6" width="9.85546875" bestFit="1" customWidth="1"/>
    <col min="7" max="7" width="31.85546875" customWidth="1"/>
    <col min="8" max="8" width="11" customWidth="1"/>
    <col min="9" max="9" width="13.140625" customWidth="1"/>
    <col min="10" max="10" width="10" bestFit="1" customWidth="1"/>
    <col min="13" max="13" width="13.5703125" customWidth="1"/>
    <col min="14" max="14" width="0.140625" hidden="1" customWidth="1"/>
    <col min="15" max="18" width="9.140625" hidden="1" customWidth="1"/>
    <col min="257" max="257" width="4.85546875" customWidth="1"/>
    <col min="258" max="258" width="3.7109375" customWidth="1"/>
    <col min="262" max="262" width="9.85546875" bestFit="1" customWidth="1"/>
    <col min="263" max="263" width="31.85546875" customWidth="1"/>
    <col min="264" max="264" width="11" customWidth="1"/>
    <col min="265" max="265" width="13.140625" customWidth="1"/>
    <col min="266" max="266" width="10" bestFit="1" customWidth="1"/>
    <col min="269" max="269" width="13.5703125" customWidth="1"/>
    <col min="270" max="274" width="0" hidden="1" customWidth="1"/>
    <col min="513" max="513" width="4.85546875" customWidth="1"/>
    <col min="514" max="514" width="3.7109375" customWidth="1"/>
    <col min="518" max="518" width="9.85546875" bestFit="1" customWidth="1"/>
    <col min="519" max="519" width="31.85546875" customWidth="1"/>
    <col min="520" max="520" width="11" customWidth="1"/>
    <col min="521" max="521" width="13.140625" customWidth="1"/>
    <col min="522" max="522" width="10" bestFit="1" customWidth="1"/>
    <col min="525" max="525" width="13.5703125" customWidth="1"/>
    <col min="526" max="530" width="0" hidden="1" customWidth="1"/>
    <col min="769" max="769" width="4.85546875" customWidth="1"/>
    <col min="770" max="770" width="3.7109375" customWidth="1"/>
    <col min="774" max="774" width="9.85546875" bestFit="1" customWidth="1"/>
    <col min="775" max="775" width="31.85546875" customWidth="1"/>
    <col min="776" max="776" width="11" customWidth="1"/>
    <col min="777" max="777" width="13.140625" customWidth="1"/>
    <col min="778" max="778" width="10" bestFit="1" customWidth="1"/>
    <col min="781" max="781" width="13.5703125" customWidth="1"/>
    <col min="782" max="786" width="0" hidden="1" customWidth="1"/>
    <col min="1025" max="1025" width="4.85546875" customWidth="1"/>
    <col min="1026" max="1026" width="3.7109375" customWidth="1"/>
    <col min="1030" max="1030" width="9.85546875" bestFit="1" customWidth="1"/>
    <col min="1031" max="1031" width="31.85546875" customWidth="1"/>
    <col min="1032" max="1032" width="11" customWidth="1"/>
    <col min="1033" max="1033" width="13.140625" customWidth="1"/>
    <col min="1034" max="1034" width="10" bestFit="1" customWidth="1"/>
    <col min="1037" max="1037" width="13.5703125" customWidth="1"/>
    <col min="1038" max="1042" width="0" hidden="1" customWidth="1"/>
    <col min="1281" max="1281" width="4.85546875" customWidth="1"/>
    <col min="1282" max="1282" width="3.7109375" customWidth="1"/>
    <col min="1286" max="1286" width="9.85546875" bestFit="1" customWidth="1"/>
    <col min="1287" max="1287" width="31.85546875" customWidth="1"/>
    <col min="1288" max="1288" width="11" customWidth="1"/>
    <col min="1289" max="1289" width="13.140625" customWidth="1"/>
    <col min="1290" max="1290" width="10" bestFit="1" customWidth="1"/>
    <col min="1293" max="1293" width="13.5703125" customWidth="1"/>
    <col min="1294" max="1298" width="0" hidden="1" customWidth="1"/>
    <col min="1537" max="1537" width="4.85546875" customWidth="1"/>
    <col min="1538" max="1538" width="3.7109375" customWidth="1"/>
    <col min="1542" max="1542" width="9.85546875" bestFit="1" customWidth="1"/>
    <col min="1543" max="1543" width="31.85546875" customWidth="1"/>
    <col min="1544" max="1544" width="11" customWidth="1"/>
    <col min="1545" max="1545" width="13.140625" customWidth="1"/>
    <col min="1546" max="1546" width="10" bestFit="1" customWidth="1"/>
    <col min="1549" max="1549" width="13.5703125" customWidth="1"/>
    <col min="1550" max="1554" width="0" hidden="1" customWidth="1"/>
    <col min="1793" max="1793" width="4.85546875" customWidth="1"/>
    <col min="1794" max="1794" width="3.7109375" customWidth="1"/>
    <col min="1798" max="1798" width="9.85546875" bestFit="1" customWidth="1"/>
    <col min="1799" max="1799" width="31.85546875" customWidth="1"/>
    <col min="1800" max="1800" width="11" customWidth="1"/>
    <col min="1801" max="1801" width="13.140625" customWidth="1"/>
    <col min="1802" max="1802" width="10" bestFit="1" customWidth="1"/>
    <col min="1805" max="1805" width="13.5703125" customWidth="1"/>
    <col min="1806" max="1810" width="0" hidden="1" customWidth="1"/>
    <col min="2049" max="2049" width="4.85546875" customWidth="1"/>
    <col min="2050" max="2050" width="3.7109375" customWidth="1"/>
    <col min="2054" max="2054" width="9.85546875" bestFit="1" customWidth="1"/>
    <col min="2055" max="2055" width="31.85546875" customWidth="1"/>
    <col min="2056" max="2056" width="11" customWidth="1"/>
    <col min="2057" max="2057" width="13.140625" customWidth="1"/>
    <col min="2058" max="2058" width="10" bestFit="1" customWidth="1"/>
    <col min="2061" max="2061" width="13.5703125" customWidth="1"/>
    <col min="2062" max="2066" width="0" hidden="1" customWidth="1"/>
    <col min="2305" max="2305" width="4.85546875" customWidth="1"/>
    <col min="2306" max="2306" width="3.7109375" customWidth="1"/>
    <col min="2310" max="2310" width="9.85546875" bestFit="1" customWidth="1"/>
    <col min="2311" max="2311" width="31.85546875" customWidth="1"/>
    <col min="2312" max="2312" width="11" customWidth="1"/>
    <col min="2313" max="2313" width="13.140625" customWidth="1"/>
    <col min="2314" max="2314" width="10" bestFit="1" customWidth="1"/>
    <col min="2317" max="2317" width="13.5703125" customWidth="1"/>
    <col min="2318" max="2322" width="0" hidden="1" customWidth="1"/>
    <col min="2561" max="2561" width="4.85546875" customWidth="1"/>
    <col min="2562" max="2562" width="3.7109375" customWidth="1"/>
    <col min="2566" max="2566" width="9.85546875" bestFit="1" customWidth="1"/>
    <col min="2567" max="2567" width="31.85546875" customWidth="1"/>
    <col min="2568" max="2568" width="11" customWidth="1"/>
    <col min="2569" max="2569" width="13.140625" customWidth="1"/>
    <col min="2570" max="2570" width="10" bestFit="1" customWidth="1"/>
    <col min="2573" max="2573" width="13.5703125" customWidth="1"/>
    <col min="2574" max="2578" width="0" hidden="1" customWidth="1"/>
    <col min="2817" max="2817" width="4.85546875" customWidth="1"/>
    <col min="2818" max="2818" width="3.7109375" customWidth="1"/>
    <col min="2822" max="2822" width="9.85546875" bestFit="1" customWidth="1"/>
    <col min="2823" max="2823" width="31.85546875" customWidth="1"/>
    <col min="2824" max="2824" width="11" customWidth="1"/>
    <col min="2825" max="2825" width="13.140625" customWidth="1"/>
    <col min="2826" max="2826" width="10" bestFit="1" customWidth="1"/>
    <col min="2829" max="2829" width="13.5703125" customWidth="1"/>
    <col min="2830" max="2834" width="0" hidden="1" customWidth="1"/>
    <col min="3073" max="3073" width="4.85546875" customWidth="1"/>
    <col min="3074" max="3074" width="3.7109375" customWidth="1"/>
    <col min="3078" max="3078" width="9.85546875" bestFit="1" customWidth="1"/>
    <col min="3079" max="3079" width="31.85546875" customWidth="1"/>
    <col min="3080" max="3080" width="11" customWidth="1"/>
    <col min="3081" max="3081" width="13.140625" customWidth="1"/>
    <col min="3082" max="3082" width="10" bestFit="1" customWidth="1"/>
    <col min="3085" max="3085" width="13.5703125" customWidth="1"/>
    <col min="3086" max="3090" width="0" hidden="1" customWidth="1"/>
    <col min="3329" max="3329" width="4.85546875" customWidth="1"/>
    <col min="3330" max="3330" width="3.7109375" customWidth="1"/>
    <col min="3334" max="3334" width="9.85546875" bestFit="1" customWidth="1"/>
    <col min="3335" max="3335" width="31.85546875" customWidth="1"/>
    <col min="3336" max="3336" width="11" customWidth="1"/>
    <col min="3337" max="3337" width="13.140625" customWidth="1"/>
    <col min="3338" max="3338" width="10" bestFit="1" customWidth="1"/>
    <col min="3341" max="3341" width="13.5703125" customWidth="1"/>
    <col min="3342" max="3346" width="0" hidden="1" customWidth="1"/>
    <col min="3585" max="3585" width="4.85546875" customWidth="1"/>
    <col min="3586" max="3586" width="3.7109375" customWidth="1"/>
    <col min="3590" max="3590" width="9.85546875" bestFit="1" customWidth="1"/>
    <col min="3591" max="3591" width="31.85546875" customWidth="1"/>
    <col min="3592" max="3592" width="11" customWidth="1"/>
    <col min="3593" max="3593" width="13.140625" customWidth="1"/>
    <col min="3594" max="3594" width="10" bestFit="1" customWidth="1"/>
    <col min="3597" max="3597" width="13.5703125" customWidth="1"/>
    <col min="3598" max="3602" width="0" hidden="1" customWidth="1"/>
    <col min="3841" max="3841" width="4.85546875" customWidth="1"/>
    <col min="3842" max="3842" width="3.7109375" customWidth="1"/>
    <col min="3846" max="3846" width="9.85546875" bestFit="1" customWidth="1"/>
    <col min="3847" max="3847" width="31.85546875" customWidth="1"/>
    <col min="3848" max="3848" width="11" customWidth="1"/>
    <col min="3849" max="3849" width="13.140625" customWidth="1"/>
    <col min="3850" max="3850" width="10" bestFit="1" customWidth="1"/>
    <col min="3853" max="3853" width="13.5703125" customWidth="1"/>
    <col min="3854" max="3858" width="0" hidden="1" customWidth="1"/>
    <col min="4097" max="4097" width="4.85546875" customWidth="1"/>
    <col min="4098" max="4098" width="3.7109375" customWidth="1"/>
    <col min="4102" max="4102" width="9.85546875" bestFit="1" customWidth="1"/>
    <col min="4103" max="4103" width="31.85546875" customWidth="1"/>
    <col min="4104" max="4104" width="11" customWidth="1"/>
    <col min="4105" max="4105" width="13.140625" customWidth="1"/>
    <col min="4106" max="4106" width="10" bestFit="1" customWidth="1"/>
    <col min="4109" max="4109" width="13.5703125" customWidth="1"/>
    <col min="4110" max="4114" width="0" hidden="1" customWidth="1"/>
    <col min="4353" max="4353" width="4.85546875" customWidth="1"/>
    <col min="4354" max="4354" width="3.7109375" customWidth="1"/>
    <col min="4358" max="4358" width="9.85546875" bestFit="1" customWidth="1"/>
    <col min="4359" max="4359" width="31.85546875" customWidth="1"/>
    <col min="4360" max="4360" width="11" customWidth="1"/>
    <col min="4361" max="4361" width="13.140625" customWidth="1"/>
    <col min="4362" max="4362" width="10" bestFit="1" customWidth="1"/>
    <col min="4365" max="4365" width="13.5703125" customWidth="1"/>
    <col min="4366" max="4370" width="0" hidden="1" customWidth="1"/>
    <col min="4609" max="4609" width="4.85546875" customWidth="1"/>
    <col min="4610" max="4610" width="3.7109375" customWidth="1"/>
    <col min="4614" max="4614" width="9.85546875" bestFit="1" customWidth="1"/>
    <col min="4615" max="4615" width="31.85546875" customWidth="1"/>
    <col min="4616" max="4616" width="11" customWidth="1"/>
    <col min="4617" max="4617" width="13.140625" customWidth="1"/>
    <col min="4618" max="4618" width="10" bestFit="1" customWidth="1"/>
    <col min="4621" max="4621" width="13.5703125" customWidth="1"/>
    <col min="4622" max="4626" width="0" hidden="1" customWidth="1"/>
    <col min="4865" max="4865" width="4.85546875" customWidth="1"/>
    <col min="4866" max="4866" width="3.7109375" customWidth="1"/>
    <col min="4870" max="4870" width="9.85546875" bestFit="1" customWidth="1"/>
    <col min="4871" max="4871" width="31.85546875" customWidth="1"/>
    <col min="4872" max="4872" width="11" customWidth="1"/>
    <col min="4873" max="4873" width="13.140625" customWidth="1"/>
    <col min="4874" max="4874" width="10" bestFit="1" customWidth="1"/>
    <col min="4877" max="4877" width="13.5703125" customWidth="1"/>
    <col min="4878" max="4882" width="0" hidden="1" customWidth="1"/>
    <col min="5121" max="5121" width="4.85546875" customWidth="1"/>
    <col min="5122" max="5122" width="3.7109375" customWidth="1"/>
    <col min="5126" max="5126" width="9.85546875" bestFit="1" customWidth="1"/>
    <col min="5127" max="5127" width="31.85546875" customWidth="1"/>
    <col min="5128" max="5128" width="11" customWidth="1"/>
    <col min="5129" max="5129" width="13.140625" customWidth="1"/>
    <col min="5130" max="5130" width="10" bestFit="1" customWidth="1"/>
    <col min="5133" max="5133" width="13.5703125" customWidth="1"/>
    <col min="5134" max="5138" width="0" hidden="1" customWidth="1"/>
    <col min="5377" max="5377" width="4.85546875" customWidth="1"/>
    <col min="5378" max="5378" width="3.7109375" customWidth="1"/>
    <col min="5382" max="5382" width="9.85546875" bestFit="1" customWidth="1"/>
    <col min="5383" max="5383" width="31.85546875" customWidth="1"/>
    <col min="5384" max="5384" width="11" customWidth="1"/>
    <col min="5385" max="5385" width="13.140625" customWidth="1"/>
    <col min="5386" max="5386" width="10" bestFit="1" customWidth="1"/>
    <col min="5389" max="5389" width="13.5703125" customWidth="1"/>
    <col min="5390" max="5394" width="0" hidden="1" customWidth="1"/>
    <col min="5633" max="5633" width="4.85546875" customWidth="1"/>
    <col min="5634" max="5634" width="3.7109375" customWidth="1"/>
    <col min="5638" max="5638" width="9.85546875" bestFit="1" customWidth="1"/>
    <col min="5639" max="5639" width="31.85546875" customWidth="1"/>
    <col min="5640" max="5640" width="11" customWidth="1"/>
    <col min="5641" max="5641" width="13.140625" customWidth="1"/>
    <col min="5642" max="5642" width="10" bestFit="1" customWidth="1"/>
    <col min="5645" max="5645" width="13.5703125" customWidth="1"/>
    <col min="5646" max="5650" width="0" hidden="1" customWidth="1"/>
    <col min="5889" max="5889" width="4.85546875" customWidth="1"/>
    <col min="5890" max="5890" width="3.7109375" customWidth="1"/>
    <col min="5894" max="5894" width="9.85546875" bestFit="1" customWidth="1"/>
    <col min="5895" max="5895" width="31.85546875" customWidth="1"/>
    <col min="5896" max="5896" width="11" customWidth="1"/>
    <col min="5897" max="5897" width="13.140625" customWidth="1"/>
    <col min="5898" max="5898" width="10" bestFit="1" customWidth="1"/>
    <col min="5901" max="5901" width="13.5703125" customWidth="1"/>
    <col min="5902" max="5906" width="0" hidden="1" customWidth="1"/>
    <col min="6145" max="6145" width="4.85546875" customWidth="1"/>
    <col min="6146" max="6146" width="3.7109375" customWidth="1"/>
    <col min="6150" max="6150" width="9.85546875" bestFit="1" customWidth="1"/>
    <col min="6151" max="6151" width="31.85546875" customWidth="1"/>
    <col min="6152" max="6152" width="11" customWidth="1"/>
    <col min="6153" max="6153" width="13.140625" customWidth="1"/>
    <col min="6154" max="6154" width="10" bestFit="1" customWidth="1"/>
    <col min="6157" max="6157" width="13.5703125" customWidth="1"/>
    <col min="6158" max="6162" width="0" hidden="1" customWidth="1"/>
    <col min="6401" max="6401" width="4.85546875" customWidth="1"/>
    <col min="6402" max="6402" width="3.7109375" customWidth="1"/>
    <col min="6406" max="6406" width="9.85546875" bestFit="1" customWidth="1"/>
    <col min="6407" max="6407" width="31.85546875" customWidth="1"/>
    <col min="6408" max="6408" width="11" customWidth="1"/>
    <col min="6409" max="6409" width="13.140625" customWidth="1"/>
    <col min="6410" max="6410" width="10" bestFit="1" customWidth="1"/>
    <col min="6413" max="6413" width="13.5703125" customWidth="1"/>
    <col min="6414" max="6418" width="0" hidden="1" customWidth="1"/>
    <col min="6657" max="6657" width="4.85546875" customWidth="1"/>
    <col min="6658" max="6658" width="3.7109375" customWidth="1"/>
    <col min="6662" max="6662" width="9.85546875" bestFit="1" customWidth="1"/>
    <col min="6663" max="6663" width="31.85546875" customWidth="1"/>
    <col min="6664" max="6664" width="11" customWidth="1"/>
    <col min="6665" max="6665" width="13.140625" customWidth="1"/>
    <col min="6666" max="6666" width="10" bestFit="1" customWidth="1"/>
    <col min="6669" max="6669" width="13.5703125" customWidth="1"/>
    <col min="6670" max="6674" width="0" hidden="1" customWidth="1"/>
    <col min="6913" max="6913" width="4.85546875" customWidth="1"/>
    <col min="6914" max="6914" width="3.7109375" customWidth="1"/>
    <col min="6918" max="6918" width="9.85546875" bestFit="1" customWidth="1"/>
    <col min="6919" max="6919" width="31.85546875" customWidth="1"/>
    <col min="6920" max="6920" width="11" customWidth="1"/>
    <col min="6921" max="6921" width="13.140625" customWidth="1"/>
    <col min="6922" max="6922" width="10" bestFit="1" customWidth="1"/>
    <col min="6925" max="6925" width="13.5703125" customWidth="1"/>
    <col min="6926" max="6930" width="0" hidden="1" customWidth="1"/>
    <col min="7169" max="7169" width="4.85546875" customWidth="1"/>
    <col min="7170" max="7170" width="3.7109375" customWidth="1"/>
    <col min="7174" max="7174" width="9.85546875" bestFit="1" customWidth="1"/>
    <col min="7175" max="7175" width="31.85546875" customWidth="1"/>
    <col min="7176" max="7176" width="11" customWidth="1"/>
    <col min="7177" max="7177" width="13.140625" customWidth="1"/>
    <col min="7178" max="7178" width="10" bestFit="1" customWidth="1"/>
    <col min="7181" max="7181" width="13.5703125" customWidth="1"/>
    <col min="7182" max="7186" width="0" hidden="1" customWidth="1"/>
    <col min="7425" max="7425" width="4.85546875" customWidth="1"/>
    <col min="7426" max="7426" width="3.7109375" customWidth="1"/>
    <col min="7430" max="7430" width="9.85546875" bestFit="1" customWidth="1"/>
    <col min="7431" max="7431" width="31.85546875" customWidth="1"/>
    <col min="7432" max="7432" width="11" customWidth="1"/>
    <col min="7433" max="7433" width="13.140625" customWidth="1"/>
    <col min="7434" max="7434" width="10" bestFit="1" customWidth="1"/>
    <col min="7437" max="7437" width="13.5703125" customWidth="1"/>
    <col min="7438" max="7442" width="0" hidden="1" customWidth="1"/>
    <col min="7681" max="7681" width="4.85546875" customWidth="1"/>
    <col min="7682" max="7682" width="3.7109375" customWidth="1"/>
    <col min="7686" max="7686" width="9.85546875" bestFit="1" customWidth="1"/>
    <col min="7687" max="7687" width="31.85546875" customWidth="1"/>
    <col min="7688" max="7688" width="11" customWidth="1"/>
    <col min="7689" max="7689" width="13.140625" customWidth="1"/>
    <col min="7690" max="7690" width="10" bestFit="1" customWidth="1"/>
    <col min="7693" max="7693" width="13.5703125" customWidth="1"/>
    <col min="7694" max="7698" width="0" hidden="1" customWidth="1"/>
    <col min="7937" max="7937" width="4.85546875" customWidth="1"/>
    <col min="7938" max="7938" width="3.7109375" customWidth="1"/>
    <col min="7942" max="7942" width="9.85546875" bestFit="1" customWidth="1"/>
    <col min="7943" max="7943" width="31.85546875" customWidth="1"/>
    <col min="7944" max="7944" width="11" customWidth="1"/>
    <col min="7945" max="7945" width="13.140625" customWidth="1"/>
    <col min="7946" max="7946" width="10" bestFit="1" customWidth="1"/>
    <col min="7949" max="7949" width="13.5703125" customWidth="1"/>
    <col min="7950" max="7954" width="0" hidden="1" customWidth="1"/>
    <col min="8193" max="8193" width="4.85546875" customWidth="1"/>
    <col min="8194" max="8194" width="3.7109375" customWidth="1"/>
    <col min="8198" max="8198" width="9.85546875" bestFit="1" customWidth="1"/>
    <col min="8199" max="8199" width="31.85546875" customWidth="1"/>
    <col min="8200" max="8200" width="11" customWidth="1"/>
    <col min="8201" max="8201" width="13.140625" customWidth="1"/>
    <col min="8202" max="8202" width="10" bestFit="1" customWidth="1"/>
    <col min="8205" max="8205" width="13.5703125" customWidth="1"/>
    <col min="8206" max="8210" width="0" hidden="1" customWidth="1"/>
    <col min="8449" max="8449" width="4.85546875" customWidth="1"/>
    <col min="8450" max="8450" width="3.7109375" customWidth="1"/>
    <col min="8454" max="8454" width="9.85546875" bestFit="1" customWidth="1"/>
    <col min="8455" max="8455" width="31.85546875" customWidth="1"/>
    <col min="8456" max="8456" width="11" customWidth="1"/>
    <col min="8457" max="8457" width="13.140625" customWidth="1"/>
    <col min="8458" max="8458" width="10" bestFit="1" customWidth="1"/>
    <col min="8461" max="8461" width="13.5703125" customWidth="1"/>
    <col min="8462" max="8466" width="0" hidden="1" customWidth="1"/>
    <col min="8705" max="8705" width="4.85546875" customWidth="1"/>
    <col min="8706" max="8706" width="3.7109375" customWidth="1"/>
    <col min="8710" max="8710" width="9.85546875" bestFit="1" customWidth="1"/>
    <col min="8711" max="8711" width="31.85546875" customWidth="1"/>
    <col min="8712" max="8712" width="11" customWidth="1"/>
    <col min="8713" max="8713" width="13.140625" customWidth="1"/>
    <col min="8714" max="8714" width="10" bestFit="1" customWidth="1"/>
    <col min="8717" max="8717" width="13.5703125" customWidth="1"/>
    <col min="8718" max="8722" width="0" hidden="1" customWidth="1"/>
    <col min="8961" max="8961" width="4.85546875" customWidth="1"/>
    <col min="8962" max="8962" width="3.7109375" customWidth="1"/>
    <col min="8966" max="8966" width="9.85546875" bestFit="1" customWidth="1"/>
    <col min="8967" max="8967" width="31.85546875" customWidth="1"/>
    <col min="8968" max="8968" width="11" customWidth="1"/>
    <col min="8969" max="8969" width="13.140625" customWidth="1"/>
    <col min="8970" max="8970" width="10" bestFit="1" customWidth="1"/>
    <col min="8973" max="8973" width="13.5703125" customWidth="1"/>
    <col min="8974" max="8978" width="0" hidden="1" customWidth="1"/>
    <col min="9217" max="9217" width="4.85546875" customWidth="1"/>
    <col min="9218" max="9218" width="3.7109375" customWidth="1"/>
    <col min="9222" max="9222" width="9.85546875" bestFit="1" customWidth="1"/>
    <col min="9223" max="9223" width="31.85546875" customWidth="1"/>
    <col min="9224" max="9224" width="11" customWidth="1"/>
    <col min="9225" max="9225" width="13.140625" customWidth="1"/>
    <col min="9226" max="9226" width="10" bestFit="1" customWidth="1"/>
    <col min="9229" max="9229" width="13.5703125" customWidth="1"/>
    <col min="9230" max="9234" width="0" hidden="1" customWidth="1"/>
    <col min="9473" max="9473" width="4.85546875" customWidth="1"/>
    <col min="9474" max="9474" width="3.7109375" customWidth="1"/>
    <col min="9478" max="9478" width="9.85546875" bestFit="1" customWidth="1"/>
    <col min="9479" max="9479" width="31.85546875" customWidth="1"/>
    <col min="9480" max="9480" width="11" customWidth="1"/>
    <col min="9481" max="9481" width="13.140625" customWidth="1"/>
    <col min="9482" max="9482" width="10" bestFit="1" customWidth="1"/>
    <col min="9485" max="9485" width="13.5703125" customWidth="1"/>
    <col min="9486" max="9490" width="0" hidden="1" customWidth="1"/>
    <col min="9729" max="9729" width="4.85546875" customWidth="1"/>
    <col min="9730" max="9730" width="3.7109375" customWidth="1"/>
    <col min="9734" max="9734" width="9.85546875" bestFit="1" customWidth="1"/>
    <col min="9735" max="9735" width="31.85546875" customWidth="1"/>
    <col min="9736" max="9736" width="11" customWidth="1"/>
    <col min="9737" max="9737" width="13.140625" customWidth="1"/>
    <col min="9738" max="9738" width="10" bestFit="1" customWidth="1"/>
    <col min="9741" max="9741" width="13.5703125" customWidth="1"/>
    <col min="9742" max="9746" width="0" hidden="1" customWidth="1"/>
    <col min="9985" max="9985" width="4.85546875" customWidth="1"/>
    <col min="9986" max="9986" width="3.7109375" customWidth="1"/>
    <col min="9990" max="9990" width="9.85546875" bestFit="1" customWidth="1"/>
    <col min="9991" max="9991" width="31.85546875" customWidth="1"/>
    <col min="9992" max="9992" width="11" customWidth="1"/>
    <col min="9993" max="9993" width="13.140625" customWidth="1"/>
    <col min="9994" max="9994" width="10" bestFit="1" customWidth="1"/>
    <col min="9997" max="9997" width="13.5703125" customWidth="1"/>
    <col min="9998" max="10002" width="0" hidden="1" customWidth="1"/>
    <col min="10241" max="10241" width="4.85546875" customWidth="1"/>
    <col min="10242" max="10242" width="3.7109375" customWidth="1"/>
    <col min="10246" max="10246" width="9.85546875" bestFit="1" customWidth="1"/>
    <col min="10247" max="10247" width="31.85546875" customWidth="1"/>
    <col min="10248" max="10248" width="11" customWidth="1"/>
    <col min="10249" max="10249" width="13.140625" customWidth="1"/>
    <col min="10250" max="10250" width="10" bestFit="1" customWidth="1"/>
    <col min="10253" max="10253" width="13.5703125" customWidth="1"/>
    <col min="10254" max="10258" width="0" hidden="1" customWidth="1"/>
    <col min="10497" max="10497" width="4.85546875" customWidth="1"/>
    <col min="10498" max="10498" width="3.7109375" customWidth="1"/>
    <col min="10502" max="10502" width="9.85546875" bestFit="1" customWidth="1"/>
    <col min="10503" max="10503" width="31.85546875" customWidth="1"/>
    <col min="10504" max="10504" width="11" customWidth="1"/>
    <col min="10505" max="10505" width="13.140625" customWidth="1"/>
    <col min="10506" max="10506" width="10" bestFit="1" customWidth="1"/>
    <col min="10509" max="10509" width="13.5703125" customWidth="1"/>
    <col min="10510" max="10514" width="0" hidden="1" customWidth="1"/>
    <col min="10753" max="10753" width="4.85546875" customWidth="1"/>
    <col min="10754" max="10754" width="3.7109375" customWidth="1"/>
    <col min="10758" max="10758" width="9.85546875" bestFit="1" customWidth="1"/>
    <col min="10759" max="10759" width="31.85546875" customWidth="1"/>
    <col min="10760" max="10760" width="11" customWidth="1"/>
    <col min="10761" max="10761" width="13.140625" customWidth="1"/>
    <col min="10762" max="10762" width="10" bestFit="1" customWidth="1"/>
    <col min="10765" max="10765" width="13.5703125" customWidth="1"/>
    <col min="10766" max="10770" width="0" hidden="1" customWidth="1"/>
    <col min="11009" max="11009" width="4.85546875" customWidth="1"/>
    <col min="11010" max="11010" width="3.7109375" customWidth="1"/>
    <col min="11014" max="11014" width="9.85546875" bestFit="1" customWidth="1"/>
    <col min="11015" max="11015" width="31.85546875" customWidth="1"/>
    <col min="11016" max="11016" width="11" customWidth="1"/>
    <col min="11017" max="11017" width="13.140625" customWidth="1"/>
    <col min="11018" max="11018" width="10" bestFit="1" customWidth="1"/>
    <col min="11021" max="11021" width="13.5703125" customWidth="1"/>
    <col min="11022" max="11026" width="0" hidden="1" customWidth="1"/>
    <col min="11265" max="11265" width="4.85546875" customWidth="1"/>
    <col min="11266" max="11266" width="3.7109375" customWidth="1"/>
    <col min="11270" max="11270" width="9.85546875" bestFit="1" customWidth="1"/>
    <col min="11271" max="11271" width="31.85546875" customWidth="1"/>
    <col min="11272" max="11272" width="11" customWidth="1"/>
    <col min="11273" max="11273" width="13.140625" customWidth="1"/>
    <col min="11274" max="11274" width="10" bestFit="1" customWidth="1"/>
    <col min="11277" max="11277" width="13.5703125" customWidth="1"/>
    <col min="11278" max="11282" width="0" hidden="1" customWidth="1"/>
    <col min="11521" max="11521" width="4.85546875" customWidth="1"/>
    <col min="11522" max="11522" width="3.7109375" customWidth="1"/>
    <col min="11526" max="11526" width="9.85546875" bestFit="1" customWidth="1"/>
    <col min="11527" max="11527" width="31.85546875" customWidth="1"/>
    <col min="11528" max="11528" width="11" customWidth="1"/>
    <col min="11529" max="11529" width="13.140625" customWidth="1"/>
    <col min="11530" max="11530" width="10" bestFit="1" customWidth="1"/>
    <col min="11533" max="11533" width="13.5703125" customWidth="1"/>
    <col min="11534" max="11538" width="0" hidden="1" customWidth="1"/>
    <col min="11777" max="11777" width="4.85546875" customWidth="1"/>
    <col min="11778" max="11778" width="3.7109375" customWidth="1"/>
    <col min="11782" max="11782" width="9.85546875" bestFit="1" customWidth="1"/>
    <col min="11783" max="11783" width="31.85546875" customWidth="1"/>
    <col min="11784" max="11784" width="11" customWidth="1"/>
    <col min="11785" max="11785" width="13.140625" customWidth="1"/>
    <col min="11786" max="11786" width="10" bestFit="1" customWidth="1"/>
    <col min="11789" max="11789" width="13.5703125" customWidth="1"/>
    <col min="11790" max="11794" width="0" hidden="1" customWidth="1"/>
    <col min="12033" max="12033" width="4.85546875" customWidth="1"/>
    <col min="12034" max="12034" width="3.7109375" customWidth="1"/>
    <col min="12038" max="12038" width="9.85546875" bestFit="1" customWidth="1"/>
    <col min="12039" max="12039" width="31.85546875" customWidth="1"/>
    <col min="12040" max="12040" width="11" customWidth="1"/>
    <col min="12041" max="12041" width="13.140625" customWidth="1"/>
    <col min="12042" max="12042" width="10" bestFit="1" customWidth="1"/>
    <col min="12045" max="12045" width="13.5703125" customWidth="1"/>
    <col min="12046" max="12050" width="0" hidden="1" customWidth="1"/>
    <col min="12289" max="12289" width="4.85546875" customWidth="1"/>
    <col min="12290" max="12290" width="3.7109375" customWidth="1"/>
    <col min="12294" max="12294" width="9.85546875" bestFit="1" customWidth="1"/>
    <col min="12295" max="12295" width="31.85546875" customWidth="1"/>
    <col min="12296" max="12296" width="11" customWidth="1"/>
    <col min="12297" max="12297" width="13.140625" customWidth="1"/>
    <col min="12298" max="12298" width="10" bestFit="1" customWidth="1"/>
    <col min="12301" max="12301" width="13.5703125" customWidth="1"/>
    <col min="12302" max="12306" width="0" hidden="1" customWidth="1"/>
    <col min="12545" max="12545" width="4.85546875" customWidth="1"/>
    <col min="12546" max="12546" width="3.7109375" customWidth="1"/>
    <col min="12550" max="12550" width="9.85546875" bestFit="1" customWidth="1"/>
    <col min="12551" max="12551" width="31.85546875" customWidth="1"/>
    <col min="12552" max="12552" width="11" customWidth="1"/>
    <col min="12553" max="12553" width="13.140625" customWidth="1"/>
    <col min="12554" max="12554" width="10" bestFit="1" customWidth="1"/>
    <col min="12557" max="12557" width="13.5703125" customWidth="1"/>
    <col min="12558" max="12562" width="0" hidden="1" customWidth="1"/>
    <col min="12801" max="12801" width="4.85546875" customWidth="1"/>
    <col min="12802" max="12802" width="3.7109375" customWidth="1"/>
    <col min="12806" max="12806" width="9.85546875" bestFit="1" customWidth="1"/>
    <col min="12807" max="12807" width="31.85546875" customWidth="1"/>
    <col min="12808" max="12808" width="11" customWidth="1"/>
    <col min="12809" max="12809" width="13.140625" customWidth="1"/>
    <col min="12810" max="12810" width="10" bestFit="1" customWidth="1"/>
    <col min="12813" max="12813" width="13.5703125" customWidth="1"/>
    <col min="12814" max="12818" width="0" hidden="1" customWidth="1"/>
    <col min="13057" max="13057" width="4.85546875" customWidth="1"/>
    <col min="13058" max="13058" width="3.7109375" customWidth="1"/>
    <col min="13062" max="13062" width="9.85546875" bestFit="1" customWidth="1"/>
    <col min="13063" max="13063" width="31.85546875" customWidth="1"/>
    <col min="13064" max="13064" width="11" customWidth="1"/>
    <col min="13065" max="13065" width="13.140625" customWidth="1"/>
    <col min="13066" max="13066" width="10" bestFit="1" customWidth="1"/>
    <col min="13069" max="13069" width="13.5703125" customWidth="1"/>
    <col min="13070" max="13074" width="0" hidden="1" customWidth="1"/>
    <col min="13313" max="13313" width="4.85546875" customWidth="1"/>
    <col min="13314" max="13314" width="3.7109375" customWidth="1"/>
    <col min="13318" max="13318" width="9.85546875" bestFit="1" customWidth="1"/>
    <col min="13319" max="13319" width="31.85546875" customWidth="1"/>
    <col min="13320" max="13320" width="11" customWidth="1"/>
    <col min="13321" max="13321" width="13.140625" customWidth="1"/>
    <col min="13322" max="13322" width="10" bestFit="1" customWidth="1"/>
    <col min="13325" max="13325" width="13.5703125" customWidth="1"/>
    <col min="13326" max="13330" width="0" hidden="1" customWidth="1"/>
    <col min="13569" max="13569" width="4.85546875" customWidth="1"/>
    <col min="13570" max="13570" width="3.7109375" customWidth="1"/>
    <col min="13574" max="13574" width="9.85546875" bestFit="1" customWidth="1"/>
    <col min="13575" max="13575" width="31.85546875" customWidth="1"/>
    <col min="13576" max="13576" width="11" customWidth="1"/>
    <col min="13577" max="13577" width="13.140625" customWidth="1"/>
    <col min="13578" max="13578" width="10" bestFit="1" customWidth="1"/>
    <col min="13581" max="13581" width="13.5703125" customWidth="1"/>
    <col min="13582" max="13586" width="0" hidden="1" customWidth="1"/>
    <col min="13825" max="13825" width="4.85546875" customWidth="1"/>
    <col min="13826" max="13826" width="3.7109375" customWidth="1"/>
    <col min="13830" max="13830" width="9.85546875" bestFit="1" customWidth="1"/>
    <col min="13831" max="13831" width="31.85546875" customWidth="1"/>
    <col min="13832" max="13832" width="11" customWidth="1"/>
    <col min="13833" max="13833" width="13.140625" customWidth="1"/>
    <col min="13834" max="13834" width="10" bestFit="1" customWidth="1"/>
    <col min="13837" max="13837" width="13.5703125" customWidth="1"/>
    <col min="13838" max="13842" width="0" hidden="1" customWidth="1"/>
    <col min="14081" max="14081" width="4.85546875" customWidth="1"/>
    <col min="14082" max="14082" width="3.7109375" customWidth="1"/>
    <col min="14086" max="14086" width="9.85546875" bestFit="1" customWidth="1"/>
    <col min="14087" max="14087" width="31.85546875" customWidth="1"/>
    <col min="14088" max="14088" width="11" customWidth="1"/>
    <col min="14089" max="14089" width="13.140625" customWidth="1"/>
    <col min="14090" max="14090" width="10" bestFit="1" customWidth="1"/>
    <col min="14093" max="14093" width="13.5703125" customWidth="1"/>
    <col min="14094" max="14098" width="0" hidden="1" customWidth="1"/>
    <col min="14337" max="14337" width="4.85546875" customWidth="1"/>
    <col min="14338" max="14338" width="3.7109375" customWidth="1"/>
    <col min="14342" max="14342" width="9.85546875" bestFit="1" customWidth="1"/>
    <col min="14343" max="14343" width="31.85546875" customWidth="1"/>
    <col min="14344" max="14344" width="11" customWidth="1"/>
    <col min="14345" max="14345" width="13.140625" customWidth="1"/>
    <col min="14346" max="14346" width="10" bestFit="1" customWidth="1"/>
    <col min="14349" max="14349" width="13.5703125" customWidth="1"/>
    <col min="14350" max="14354" width="0" hidden="1" customWidth="1"/>
    <col min="14593" max="14593" width="4.85546875" customWidth="1"/>
    <col min="14594" max="14594" width="3.7109375" customWidth="1"/>
    <col min="14598" max="14598" width="9.85546875" bestFit="1" customWidth="1"/>
    <col min="14599" max="14599" width="31.85546875" customWidth="1"/>
    <col min="14600" max="14600" width="11" customWidth="1"/>
    <col min="14601" max="14601" width="13.140625" customWidth="1"/>
    <col min="14602" max="14602" width="10" bestFit="1" customWidth="1"/>
    <col min="14605" max="14605" width="13.5703125" customWidth="1"/>
    <col min="14606" max="14610" width="0" hidden="1" customWidth="1"/>
    <col min="14849" max="14849" width="4.85546875" customWidth="1"/>
    <col min="14850" max="14850" width="3.7109375" customWidth="1"/>
    <col min="14854" max="14854" width="9.85546875" bestFit="1" customWidth="1"/>
    <col min="14855" max="14855" width="31.85546875" customWidth="1"/>
    <col min="14856" max="14856" width="11" customWidth="1"/>
    <col min="14857" max="14857" width="13.140625" customWidth="1"/>
    <col min="14858" max="14858" width="10" bestFit="1" customWidth="1"/>
    <col min="14861" max="14861" width="13.5703125" customWidth="1"/>
    <col min="14862" max="14866" width="0" hidden="1" customWidth="1"/>
    <col min="15105" max="15105" width="4.85546875" customWidth="1"/>
    <col min="15106" max="15106" width="3.7109375" customWidth="1"/>
    <col min="15110" max="15110" width="9.85546875" bestFit="1" customWidth="1"/>
    <col min="15111" max="15111" width="31.85546875" customWidth="1"/>
    <col min="15112" max="15112" width="11" customWidth="1"/>
    <col min="15113" max="15113" width="13.140625" customWidth="1"/>
    <col min="15114" max="15114" width="10" bestFit="1" customWidth="1"/>
    <col min="15117" max="15117" width="13.5703125" customWidth="1"/>
    <col min="15118" max="15122" width="0" hidden="1" customWidth="1"/>
    <col min="15361" max="15361" width="4.85546875" customWidth="1"/>
    <col min="15362" max="15362" width="3.7109375" customWidth="1"/>
    <col min="15366" max="15366" width="9.85546875" bestFit="1" customWidth="1"/>
    <col min="15367" max="15367" width="31.85546875" customWidth="1"/>
    <col min="15368" max="15368" width="11" customWidth="1"/>
    <col min="15369" max="15369" width="13.140625" customWidth="1"/>
    <col min="15370" max="15370" width="10" bestFit="1" customWidth="1"/>
    <col min="15373" max="15373" width="13.5703125" customWidth="1"/>
    <col min="15374" max="15378" width="0" hidden="1" customWidth="1"/>
    <col min="15617" max="15617" width="4.85546875" customWidth="1"/>
    <col min="15618" max="15618" width="3.7109375" customWidth="1"/>
    <col min="15622" max="15622" width="9.85546875" bestFit="1" customWidth="1"/>
    <col min="15623" max="15623" width="31.85546875" customWidth="1"/>
    <col min="15624" max="15624" width="11" customWidth="1"/>
    <col min="15625" max="15625" width="13.140625" customWidth="1"/>
    <col min="15626" max="15626" width="10" bestFit="1" customWidth="1"/>
    <col min="15629" max="15629" width="13.5703125" customWidth="1"/>
    <col min="15630" max="15634" width="0" hidden="1" customWidth="1"/>
    <col min="15873" max="15873" width="4.85546875" customWidth="1"/>
    <col min="15874" max="15874" width="3.7109375" customWidth="1"/>
    <col min="15878" max="15878" width="9.85546875" bestFit="1" customWidth="1"/>
    <col min="15879" max="15879" width="31.85546875" customWidth="1"/>
    <col min="15880" max="15880" width="11" customWidth="1"/>
    <col min="15881" max="15881" width="13.140625" customWidth="1"/>
    <col min="15882" max="15882" width="10" bestFit="1" customWidth="1"/>
    <col min="15885" max="15885" width="13.5703125" customWidth="1"/>
    <col min="15886" max="15890" width="0" hidden="1" customWidth="1"/>
    <col min="16129" max="16129" width="4.85546875" customWidth="1"/>
    <col min="16130" max="16130" width="3.7109375" customWidth="1"/>
    <col min="16134" max="16134" width="9.85546875" bestFit="1" customWidth="1"/>
    <col min="16135" max="16135" width="31.85546875" customWidth="1"/>
    <col min="16136" max="16136" width="11" customWidth="1"/>
    <col min="16137" max="16137" width="13.140625" customWidth="1"/>
    <col min="16138" max="16138" width="10" bestFit="1" customWidth="1"/>
    <col min="16141" max="16141" width="13.5703125" customWidth="1"/>
    <col min="16142" max="16146" width="0" hidden="1" customWidth="1"/>
  </cols>
  <sheetData>
    <row r="1" spans="2:19" ht="15.75" thickBot="1" x14ac:dyDescent="0.3"/>
    <row r="2" spans="2:19" x14ac:dyDescent="0.25">
      <c r="B2" s="141" t="s">
        <v>90</v>
      </c>
      <c r="C2" s="142"/>
      <c r="D2" s="142"/>
      <c r="E2" s="142"/>
      <c r="F2" s="142"/>
      <c r="G2" s="142"/>
      <c r="H2" s="142"/>
      <c r="I2" s="143"/>
    </row>
    <row r="3" spans="2:19" ht="15.75" thickBot="1" x14ac:dyDescent="0.3">
      <c r="B3" s="144"/>
      <c r="C3" s="145"/>
      <c r="D3" s="145"/>
      <c r="E3" s="145"/>
      <c r="F3" s="145"/>
      <c r="G3" s="145"/>
      <c r="H3" s="145"/>
      <c r="I3" s="146"/>
    </row>
    <row r="4" spans="2:19" x14ac:dyDescent="0.25">
      <c r="B4" t="s">
        <v>24</v>
      </c>
    </row>
    <row r="6" spans="2:19" ht="15.75" thickBot="1" x14ac:dyDescent="0.3"/>
    <row r="7" spans="2:19" x14ac:dyDescent="0.25">
      <c r="B7" s="121" t="s">
        <v>0</v>
      </c>
      <c r="C7" s="123" t="s">
        <v>1</v>
      </c>
      <c r="D7" s="124"/>
      <c r="E7" s="125"/>
      <c r="F7" s="121" t="s">
        <v>2</v>
      </c>
      <c r="G7" s="129" t="s">
        <v>3</v>
      </c>
      <c r="H7" s="129" t="s">
        <v>25</v>
      </c>
      <c r="I7" s="30"/>
    </row>
    <row r="8" spans="2:19" ht="15.75" thickBot="1" x14ac:dyDescent="0.3">
      <c r="B8" s="122"/>
      <c r="C8" s="126"/>
      <c r="D8" s="127"/>
      <c r="E8" s="128"/>
      <c r="F8" s="122"/>
      <c r="G8" s="130"/>
      <c r="H8" s="130"/>
      <c r="I8" s="26" t="s">
        <v>5</v>
      </c>
    </row>
    <row r="9" spans="2:19" ht="15.75" thickBot="1" x14ac:dyDescent="0.3">
      <c r="B9" s="3">
        <v>1</v>
      </c>
      <c r="C9" s="100" t="s">
        <v>26</v>
      </c>
      <c r="D9" s="101"/>
      <c r="E9" s="102"/>
      <c r="F9" s="4">
        <v>300</v>
      </c>
      <c r="G9" s="5">
        <v>4.12</v>
      </c>
      <c r="H9" s="5">
        <f>+F9*G9</f>
        <v>1236</v>
      </c>
      <c r="I9" s="5">
        <f t="shared" ref="I9:I13" si="0">F9*G9</f>
        <v>1236</v>
      </c>
      <c r="J9" s="139"/>
      <c r="K9" s="140"/>
      <c r="L9" s="140"/>
      <c r="M9" s="140"/>
      <c r="N9" s="140"/>
      <c r="O9" s="140"/>
      <c r="P9" s="140"/>
      <c r="Q9" s="140"/>
      <c r="R9" s="140"/>
    </row>
    <row r="10" spans="2:19" ht="15.75" thickBot="1" x14ac:dyDescent="0.3">
      <c r="B10" s="3">
        <v>2</v>
      </c>
      <c r="C10" s="100" t="s">
        <v>57</v>
      </c>
      <c r="D10" s="101"/>
      <c r="E10" s="102"/>
      <c r="F10" s="4">
        <v>1</v>
      </c>
      <c r="G10" s="5">
        <v>2.4500000000000002</v>
      </c>
      <c r="H10" s="5">
        <f>F10*G10</f>
        <v>2.4500000000000002</v>
      </c>
      <c r="I10" s="5">
        <f>F10*G10</f>
        <v>2.4500000000000002</v>
      </c>
      <c r="J10" s="31"/>
      <c r="K10" s="84"/>
      <c r="L10" s="84"/>
      <c r="M10" s="84"/>
      <c r="N10" s="84"/>
      <c r="O10" s="84"/>
      <c r="P10" s="84"/>
      <c r="Q10" s="84"/>
      <c r="R10" s="84"/>
    </row>
    <row r="11" spans="2:19" ht="15.75" thickBot="1" x14ac:dyDescent="0.3">
      <c r="B11" s="3">
        <v>3</v>
      </c>
      <c r="C11" s="100" t="s">
        <v>58</v>
      </c>
      <c r="D11" s="101"/>
      <c r="E11" s="102"/>
      <c r="F11" s="4">
        <v>16</v>
      </c>
      <c r="G11" s="5">
        <v>11.25</v>
      </c>
      <c r="H11" s="5">
        <f>F11*G11</f>
        <v>180</v>
      </c>
      <c r="I11" s="5">
        <f t="shared" si="0"/>
        <v>180</v>
      </c>
      <c r="J11" s="31"/>
      <c r="K11" s="84"/>
      <c r="L11" s="84"/>
      <c r="M11" s="84"/>
      <c r="N11" s="84"/>
      <c r="O11" s="84"/>
      <c r="P11" s="84"/>
      <c r="Q11" s="84"/>
      <c r="R11" s="84"/>
    </row>
    <row r="12" spans="2:19" ht="15.75" thickBot="1" x14ac:dyDescent="0.3">
      <c r="B12" s="3">
        <v>4</v>
      </c>
      <c r="C12" s="100" t="s">
        <v>12</v>
      </c>
      <c r="D12" s="101"/>
      <c r="E12" s="102"/>
      <c r="F12" s="5">
        <v>4.5</v>
      </c>
      <c r="G12" s="5">
        <v>6.23</v>
      </c>
      <c r="H12" s="5">
        <f>+F12*G12</f>
        <v>28.035000000000004</v>
      </c>
      <c r="I12" s="5">
        <f t="shared" si="0"/>
        <v>28.035000000000004</v>
      </c>
    </row>
    <row r="13" spans="2:19" ht="15.75" thickBot="1" x14ac:dyDescent="0.3">
      <c r="B13" s="3">
        <v>5</v>
      </c>
      <c r="C13" s="100" t="s">
        <v>14</v>
      </c>
      <c r="D13" s="101"/>
      <c r="E13" s="102"/>
      <c r="F13" s="4">
        <v>225</v>
      </c>
      <c r="G13" s="5">
        <v>0.17</v>
      </c>
      <c r="H13" s="5">
        <f>+F13*G13</f>
        <v>38.25</v>
      </c>
      <c r="I13" s="33">
        <f t="shared" si="0"/>
        <v>38.25</v>
      </c>
    </row>
    <row r="14" spans="2:19" ht="15.75" thickBot="1" x14ac:dyDescent="0.3">
      <c r="B14" s="3">
        <v>6</v>
      </c>
      <c r="C14" s="100" t="s">
        <v>13</v>
      </c>
      <c r="D14" s="101"/>
      <c r="E14" s="102"/>
      <c r="F14" s="4">
        <v>250</v>
      </c>
      <c r="G14" s="5">
        <v>0.15</v>
      </c>
      <c r="H14" s="5">
        <f>F14*G14</f>
        <v>37.5</v>
      </c>
      <c r="I14" s="5">
        <f>F14*G14</f>
        <v>37.5</v>
      </c>
    </row>
    <row r="15" spans="2:19" ht="15.75" thickBot="1" x14ac:dyDescent="0.3">
      <c r="B15" s="103" t="s">
        <v>17</v>
      </c>
      <c r="C15" s="104"/>
      <c r="D15" s="104"/>
      <c r="E15" s="105"/>
      <c r="F15" s="7">
        <f>SUM(F9:F14)</f>
        <v>796.5</v>
      </c>
      <c r="G15" s="8"/>
      <c r="H15" s="34">
        <f>SUM(H9:H14)</f>
        <v>1522.2350000000001</v>
      </c>
      <c r="I15" s="5">
        <f>SUM(I9:I14)</f>
        <v>1522.2350000000001</v>
      </c>
    </row>
    <row r="16" spans="2:19" ht="15.75" thickBot="1" x14ac:dyDescent="0.3">
      <c r="B16" s="3">
        <v>1</v>
      </c>
      <c r="C16" s="100" t="s">
        <v>18</v>
      </c>
      <c r="D16" s="101"/>
      <c r="E16" s="102"/>
      <c r="F16" s="6">
        <v>30</v>
      </c>
      <c r="G16" s="5">
        <v>2.98</v>
      </c>
      <c r="H16" s="5">
        <f>+F16*G16</f>
        <v>89.4</v>
      </c>
      <c r="I16" s="35"/>
      <c r="S16" t="s">
        <v>28</v>
      </c>
    </row>
    <row r="17" spans="2:10" ht="15.75" thickBot="1" x14ac:dyDescent="0.3">
      <c r="B17" s="83">
        <v>2</v>
      </c>
      <c r="C17" s="100" t="s">
        <v>19</v>
      </c>
      <c r="D17" s="101"/>
      <c r="E17" s="102"/>
      <c r="F17" s="12">
        <v>30</v>
      </c>
      <c r="G17" s="13">
        <v>0.18</v>
      </c>
      <c r="H17" s="13">
        <f>+F17*G17</f>
        <v>5.3999999999999995</v>
      </c>
      <c r="I17" s="8"/>
    </row>
    <row r="18" spans="2:10" ht="15.75" thickBot="1" x14ac:dyDescent="0.3">
      <c r="B18" s="103" t="s">
        <v>17</v>
      </c>
      <c r="C18" s="104"/>
      <c r="D18" s="104"/>
      <c r="E18" s="105"/>
      <c r="F18" s="8"/>
      <c r="G18" s="8"/>
      <c r="H18" s="14">
        <f>SUM(H16:H17)</f>
        <v>94.800000000000011</v>
      </c>
      <c r="I18" s="6"/>
    </row>
    <row r="19" spans="2:10" ht="15.75" thickBot="1" x14ac:dyDescent="0.3">
      <c r="C19" s="97" t="s">
        <v>71</v>
      </c>
      <c r="D19" s="133"/>
      <c r="E19" s="133"/>
      <c r="F19" s="133"/>
      <c r="G19" s="134"/>
      <c r="H19" s="15">
        <f>SUM(H18,H15)</f>
        <v>1617.0350000000001</v>
      </c>
      <c r="I19" s="6">
        <f>I15+I18</f>
        <v>1522.2350000000001</v>
      </c>
    </row>
    <row r="20" spans="2:10" ht="15.75" thickBot="1" x14ac:dyDescent="0.3">
      <c r="C20" s="108" t="s">
        <v>20</v>
      </c>
      <c r="D20" s="109"/>
      <c r="E20" s="109"/>
      <c r="F20" s="109"/>
      <c r="G20" s="110"/>
      <c r="H20" s="5">
        <f>H19*20/100</f>
        <v>323.40699999999998</v>
      </c>
      <c r="I20" s="5">
        <f>I19*20/100</f>
        <v>304.44700000000006</v>
      </c>
    </row>
    <row r="21" spans="2:10" ht="15.75" thickBot="1" x14ac:dyDescent="0.3">
      <c r="C21" s="97" t="s">
        <v>21</v>
      </c>
      <c r="D21" s="98"/>
      <c r="E21" s="98"/>
      <c r="F21" s="98"/>
      <c r="G21" s="99"/>
      <c r="H21" s="16">
        <f>SUM(H19:H20)</f>
        <v>1940.442</v>
      </c>
      <c r="I21" s="16">
        <f>SUM(I19:I20)</f>
        <v>1826.6820000000002</v>
      </c>
    </row>
    <row r="22" spans="2:10" ht="15.75" thickBot="1" x14ac:dyDescent="0.3">
      <c r="C22" s="136" t="s">
        <v>72</v>
      </c>
      <c r="D22" s="137"/>
      <c r="E22" s="137"/>
      <c r="F22" s="137"/>
      <c r="G22" s="138"/>
      <c r="H22" s="36">
        <f>+H21/780</f>
        <v>2.4877461538461541</v>
      </c>
      <c r="I22" s="36">
        <f>+I21/780</f>
        <v>2.3419000000000003</v>
      </c>
    </row>
    <row r="23" spans="2:10" ht="15.75" thickBot="1" x14ac:dyDescent="0.3">
      <c r="C23" s="88"/>
      <c r="D23" s="89"/>
      <c r="E23" s="89"/>
      <c r="F23" s="89"/>
      <c r="G23" s="90"/>
      <c r="H23" s="5"/>
      <c r="I23" s="5"/>
      <c r="J23" s="37"/>
    </row>
    <row r="24" spans="2:10" ht="15.75" thickBot="1" x14ac:dyDescent="0.3">
      <c r="C24" s="88"/>
      <c r="D24" s="89"/>
      <c r="E24" s="89"/>
      <c r="F24" s="89"/>
      <c r="G24" s="90"/>
      <c r="H24" s="5"/>
      <c r="I24" s="5"/>
      <c r="J24" s="37"/>
    </row>
    <row r="25" spans="2:10" ht="15.75" thickBot="1" x14ac:dyDescent="0.3">
      <c r="C25" s="88"/>
      <c r="D25" s="91"/>
      <c r="E25" s="91"/>
      <c r="F25" s="91"/>
      <c r="G25" s="135"/>
      <c r="H25" s="5"/>
      <c r="I25" s="5"/>
      <c r="J25" s="37"/>
    </row>
    <row r="26" spans="2:10" x14ac:dyDescent="0.25">
      <c r="E26" s="38"/>
      <c r="I26" s="37"/>
    </row>
  </sheetData>
  <mergeCells count="24">
    <mergeCell ref="C13:E13"/>
    <mergeCell ref="B2:I3"/>
    <mergeCell ref="B7:B8"/>
    <mergeCell ref="C7:E8"/>
    <mergeCell ref="F7:F8"/>
    <mergeCell ref="G7:G8"/>
    <mergeCell ref="H7:H8"/>
    <mergeCell ref="C9:E9"/>
    <mergeCell ref="J9:R9"/>
    <mergeCell ref="C10:E10"/>
    <mergeCell ref="C11:E11"/>
    <mergeCell ref="C12:E12"/>
    <mergeCell ref="C25:G25"/>
    <mergeCell ref="C14:E14"/>
    <mergeCell ref="B15:E15"/>
    <mergeCell ref="C16:E16"/>
    <mergeCell ref="C17:E17"/>
    <mergeCell ref="B18:E18"/>
    <mergeCell ref="C19:G19"/>
    <mergeCell ref="C20:G20"/>
    <mergeCell ref="C21:G21"/>
    <mergeCell ref="C22:G22"/>
    <mergeCell ref="C23:G23"/>
    <mergeCell ref="C24:G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12</vt:i4>
      </vt:variant>
    </vt:vector>
  </HeadingPairs>
  <TitlesOfParts>
    <vt:vector size="12" baseType="lpstr">
      <vt:lpstr>БПМ БЯЛА</vt:lpstr>
      <vt:lpstr>БПМ СИТИ</vt:lpstr>
      <vt:lpstr>БПМ СИТИ +</vt:lpstr>
      <vt:lpstr>ШПРИЦ ПЛАСТИК</vt:lpstr>
      <vt:lpstr>СТРУКТУРЕН ПЛАСТИК</vt:lpstr>
      <vt:lpstr>РАЗРЕДИТЕЛ АК-1</vt:lpstr>
      <vt:lpstr>РАЗРЕДИТЕЛ ЗА ПЛАСТИК</vt:lpstr>
      <vt:lpstr>БПМ ЖЪЛТА</vt:lpstr>
      <vt:lpstr>БПМ ЧЕРНА</vt:lpstr>
      <vt:lpstr>БПМ СИНЯ</vt:lpstr>
      <vt:lpstr>БПМ ЧЕРВЕНА</vt:lpstr>
      <vt:lpstr>жълт шприц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2026-05-05T07:12:19Z</dcterms:modified>
</cp:coreProperties>
</file>